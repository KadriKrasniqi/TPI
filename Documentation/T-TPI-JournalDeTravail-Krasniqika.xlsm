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TPI\Documentation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Planning!$A$1:$D$15</definedName>
    <definedName name="objPlanifWeek">PlanificationWeek!$A$1:$D$14</definedName>
    <definedName name="objRealizedWeek" localSheetId="6">achievementWeek!$A$1:$D$19</definedName>
    <definedName name="objRealizedWeek" localSheetId="7">JNLTRAV!$A$1:$D$23</definedName>
    <definedName name="_xlnm.Print_Area" localSheetId="1">Diagramme!$A$1:$UP$33</definedName>
    <definedName name="_xlnm.Print_Area" localSheetId="0">Donnees!$A$1:$G$54</definedName>
    <definedName name="_xlnm.Print_Area" localSheetId="7">JNLTRAV!$A$1:$D$118</definedName>
    <definedName name="_xlnm.Print_Area" localSheetId="5">Planning!$A$1:$D$88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7" i="159" l="1"/>
  <c r="B98" i="159"/>
  <c r="B79" i="159"/>
  <c r="B60" i="159"/>
  <c r="B41" i="159"/>
  <c r="B22" i="159"/>
  <c r="B87" i="158" l="1"/>
  <c r="B73" i="158"/>
  <c r="B57" i="158"/>
  <c r="B43" i="158"/>
  <c r="B29" i="158"/>
  <c r="B14" i="158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2" i="157"/>
  <c r="C31" i="157"/>
  <c r="B18" i="154" l="1"/>
  <c r="B13" i="11"/>
</calcChain>
</file>

<file path=xl/sharedStrings.xml><?xml version="1.0" encoding="utf-8"?>
<sst xmlns="http://schemas.openxmlformats.org/spreadsheetml/2006/main" count="301" uniqueCount="119">
  <si>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</si>
  <si>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</si>
  <si>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</si>
  <si>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</si>
  <si>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</si>
  <si>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</si>
  <si>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</si>
  <si>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</si>
  <si>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</si>
  <si>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</si>
  <si>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</si>
  <si>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</si>
  <si>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</si>
  <si>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</si>
  <si>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</si>
  <si>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</si>
  <si>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</si>
  <si>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</si>
  <si>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</si>
  <si>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</si>
  <si>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</si>
  <si>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</si>
  <si>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</si>
  <si>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</si>
  <si>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</si>
  <si>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Kadri Krasniqi</t>
  </si>
  <si>
    <t>Cin4B</t>
  </si>
  <si>
    <t>ETML - Lausanne</t>
  </si>
  <si>
    <t>Analyse base de données</t>
  </si>
  <si>
    <t>Journal de travail</t>
  </si>
  <si>
    <t>Documentation</t>
  </si>
  <si>
    <t>Analyse connexion c# et sql server</t>
  </si>
  <si>
    <t>Création de la base de données</t>
  </si>
  <si>
    <t>Création de l'interface graphique</t>
  </si>
  <si>
    <t>Créer les tests à effectuer</t>
  </si>
  <si>
    <t>Développement : récuperer les images avec le mot et afficher dans l'application</t>
  </si>
  <si>
    <t>Développement : afficher les lettres du mot à trouver aléatoirement</t>
  </si>
  <si>
    <t>Développement : ajouter une fonctionnalité pour ajouter des nouveaux mots avec des images</t>
  </si>
  <si>
    <t>Test</t>
  </si>
  <si>
    <t>Max. 93</t>
  </si>
  <si>
    <t>STOP</t>
  </si>
  <si>
    <t>Planification des tâches</t>
  </si>
  <si>
    <t>Discussion - Réunion</t>
  </si>
  <si>
    <t>S 1</t>
  </si>
  <si>
    <t>S 2</t>
  </si>
  <si>
    <t>S 3</t>
  </si>
  <si>
    <t>S 4</t>
  </si>
  <si>
    <t>S 5</t>
  </si>
  <si>
    <t>S 6</t>
  </si>
  <si>
    <t>Mise en route du TPI</t>
  </si>
  <si>
    <t>Planification initialie</t>
  </si>
  <si>
    <t>Analyse générale du projet (déroulement) et planification initiale</t>
  </si>
  <si>
    <t>Mise en place du GIT</t>
  </si>
  <si>
    <t>Création de l'interface graphique sous visio avec les différentes pages et menus</t>
  </si>
  <si>
    <t>Analyse de la base de données avec création des "MCD, MLD, MPD"</t>
  </si>
  <si>
    <t>Analyse des fonctionnalités et faire le structogramme</t>
  </si>
  <si>
    <t>Analyse du programme</t>
  </si>
  <si>
    <t>Mise à jour du journal de travail</t>
  </si>
  <si>
    <t>Recherche des différentes méthodes de connexion à une base de données sql server depuis c#</t>
  </si>
  <si>
    <t>Planification détaillée du projet</t>
  </si>
  <si>
    <t>Choix d'une méthode de connexion à la base de données</t>
  </si>
  <si>
    <t>Expliquer méthode utilisé pour la connexion au sql server</t>
  </si>
  <si>
    <t>Créer l'interface graphique sous visual studio avec les différentes pages</t>
  </si>
  <si>
    <t>Crée la base de données et vérifier si tout est correct</t>
  </si>
  <si>
    <t>Mise à jour de la documentation sur l'interface crée et la base de données</t>
  </si>
  <si>
    <t>Mise à jour de la documentation</t>
  </si>
  <si>
    <t>Se connecter à la base de données avec l'application c# puis afficher des images dans l'application</t>
  </si>
  <si>
    <t xml:space="preserve">Récuperer les images avec le mot correspondant puis les afficher dans l'application </t>
  </si>
  <si>
    <t>Verifier que chaque mot est avec les bonnes images et qu'aucune image ou mot n'est oublié</t>
  </si>
  <si>
    <t xml:space="preserve">Afficher les lettres du mot à trouver aléatoirement </t>
  </si>
  <si>
    <t>Tester que toutes les lettres de chaque mot se trouve ( qu'aucune lettre n'est oubliée)</t>
  </si>
  <si>
    <t>Mise à jour de la documentation (Connexion à la base de données, affichage des images avec les mots, affichage des lettres )</t>
  </si>
  <si>
    <t>Pont de l'Asc. 25 et 26 mai 2017</t>
  </si>
  <si>
    <t>Permettre à l'utilisateur d'ajouter des images avec des mots facilement (depuis une interface "ajouter un mot")</t>
  </si>
  <si>
    <t>Mise à jour de la documentation (Interface ajouter un mot)</t>
  </si>
  <si>
    <t>Tests de l'application (Constater les améliorations à faire) Demander un avis à d'autres personnes</t>
  </si>
  <si>
    <t>Développement : amélioration</t>
  </si>
  <si>
    <t>Développement : calcul des points</t>
  </si>
  <si>
    <t>Ajouter une fonction qui calcule les points quand l'utilisateur trouve un mot</t>
  </si>
  <si>
    <t>Amélioration du programme suite au tests</t>
  </si>
  <si>
    <t>Examen CG 31 mai 2017</t>
  </si>
  <si>
    <t>Mise à jour de la documentation (Système de points, tests effectués, amélioration effectuées</t>
  </si>
  <si>
    <t>Pentecôte</t>
  </si>
  <si>
    <t xml:space="preserve">Dernires tests </t>
  </si>
  <si>
    <t>Derniers détails de la documentation</t>
  </si>
  <si>
    <t>Terminer le journal de travail</t>
  </si>
  <si>
    <t>Analyse du projet</t>
  </si>
  <si>
    <t>Création de la planification initiale</t>
  </si>
  <si>
    <t>Début du rapport de projet (spécifications)</t>
  </si>
  <si>
    <t>Interface graphique du programme avec les différents menus</t>
  </si>
  <si>
    <t>GIT "Analyse" fichier : MM-MaquetteInterfaceGraphique.vsdx</t>
  </si>
  <si>
    <t>Analyse de la base de données (MCD)</t>
  </si>
  <si>
    <t>Analyse de la base de données (MCD, MLD, MPD)</t>
  </si>
  <si>
    <t>GIT "Analyse" fichiers : MM-Analyse-BD.vsdx , MM-TPI-MPD-Krasniqika.docx</t>
  </si>
  <si>
    <t>Correction interface graphique</t>
  </si>
  <si>
    <t>Ajout de la planification initiale, interface graphique avec explications</t>
  </si>
  <si>
    <t>Rapport de projet Chapitre 2 et 3.2.1</t>
  </si>
  <si>
    <t>Analyse du programme + structogramme</t>
  </si>
  <si>
    <t>GIT "Analyse" fichier : MM-Structo.PNG</t>
  </si>
  <si>
    <t>Ajout de l'analyse base de données et du structogramme</t>
  </si>
  <si>
    <t>Rapport de projet Chapitre 3.2.2 et 3.2.3</t>
  </si>
  <si>
    <t>Recherche moyen de faire la connexion c# -&gt; SQL server + test sur visual studio</t>
  </si>
  <si>
    <t>Lundi</t>
  </si>
  <si>
    <t>Mercredi</t>
  </si>
  <si>
    <t>Jeudi</t>
  </si>
  <si>
    <t>Vendredi</t>
  </si>
  <si>
    <t>Discussion avec le chef de projet</t>
  </si>
  <si>
    <t>Modification de la base de données</t>
  </si>
  <si>
    <t>Correction de l'analyse de la base de données (MCD, MLD, MPD)</t>
  </si>
  <si>
    <t>GIT "Analyse" fichier : MM-ConceptionBDJmerise-Krasniqika ( Ouvrable avec l'application Jmerise) , MM-MCD-krasniqika.PNG + MM-MLD-krasniqika.PNG , MM-TPI-MPD-Krasniqika.docx</t>
  </si>
  <si>
    <t>Planification détaillée</t>
  </si>
  <si>
    <t>Rapport de projet chapitre 3.2.2</t>
  </si>
  <si>
    <t>GIT "Documentation" fichier : T-TPI-PlanificationDetaillee-krasniqika.xlsm</t>
  </si>
  <si>
    <t>Correction de l'analyse de la base de données</t>
  </si>
  <si>
    <t>Modification du journal de travail (Initiale -&gt; détaillé)</t>
  </si>
  <si>
    <t>Commentaire pour les différentes tables dans Jmerise</t>
  </si>
  <si>
    <t>GIT "Analyse" fichier : MM-ConceptionBDJmerise-Krasniqika ( Ouvrable avec l'application Jmerise)</t>
  </si>
  <si>
    <t>Interface graphique sur visual studio. Page d'accueil avec thèmes : OK, Page de jeu : OK, page "ajouter un nouveau mot" : Presque OK, je cherche encore une petite fonction pour pouvoir récuperer les images grâce à l'explorateur windows avec le composant "SaveFileDialog"</t>
  </si>
  <si>
    <t>SaveFileDialog : https://msdn.microsoft.com/fr-fr/library/sfezx97z(v=vs.110).aspx                           L'interface graphique est codée sous visual studio et sera bientôt dans le rapport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</si>
</sst>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6" fillId="0" borderId="0" xfId="1" applyFont="1" applyAlignment="1" applyProtection="1"/>
    <xf numFmtId="0" fontId="8" fillId="12" borderId="20" xfId="0" applyFont="1" applyFill="1" applyBorder="1" applyAlignment="1" applyProtection="1">
      <alignment horizontal="center" vertical="center"/>
    </xf>
    <xf numFmtId="0" fontId="13" fillId="12" borderId="20" xfId="0" applyFont="1" applyFill="1" applyBorder="1" applyAlignment="1" applyProtection="1">
      <alignment horizontal="center" vertical="center" wrapText="1"/>
    </xf>
    <xf numFmtId="0" fontId="6" fillId="0" borderId="0" xfId="1" applyFont="1" applyAlignment="1" applyProtection="1">
      <alignment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github.com/KadriKrasniqi/TPI/tree/master/Analyse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6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33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29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30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35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36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37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34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77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32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6" t="s">
        <v>43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7"/>
      <c r="CJ2" s="127"/>
      <c r="CK2" s="127"/>
      <c r="CL2" s="127"/>
      <c r="CM2" s="127"/>
      <c r="CN2" s="127"/>
      <c r="CO2" s="127"/>
      <c r="CP2" s="127"/>
      <c r="CQ2" s="127"/>
      <c r="CR2" s="128"/>
      <c r="CS2" s="126" t="s">
        <v>44</v>
      </c>
      <c r="CT2" s="127"/>
      <c r="CU2" s="127"/>
      <c r="CV2" s="127"/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7"/>
      <c r="DH2" s="127"/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7"/>
      <c r="DT2" s="127"/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7"/>
      <c r="EF2" s="127"/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7"/>
      <c r="ER2" s="127"/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7"/>
      <c r="FD2" s="127"/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8"/>
      <c r="GH2" s="126" t="s">
        <v>45</v>
      </c>
      <c r="GI2" s="127"/>
      <c r="GJ2" s="127"/>
      <c r="GK2" s="127"/>
      <c r="GL2" s="127"/>
      <c r="GM2" s="127"/>
      <c r="GN2" s="127"/>
      <c r="GO2" s="127"/>
      <c r="GP2" s="127"/>
      <c r="GQ2" s="127"/>
      <c r="GR2" s="127"/>
      <c r="GS2" s="127"/>
      <c r="GT2" s="127"/>
      <c r="GU2" s="127"/>
      <c r="GV2" s="127"/>
      <c r="GW2" s="127"/>
      <c r="GX2" s="127"/>
      <c r="GY2" s="127"/>
      <c r="GZ2" s="127"/>
      <c r="HA2" s="127"/>
      <c r="HB2" s="127"/>
      <c r="HC2" s="127"/>
      <c r="HD2" s="127"/>
      <c r="HE2" s="127"/>
      <c r="HF2" s="127"/>
      <c r="HG2" s="127"/>
      <c r="HH2" s="127"/>
      <c r="HI2" s="127"/>
      <c r="HJ2" s="127"/>
      <c r="HK2" s="127"/>
      <c r="HL2" s="127"/>
      <c r="HM2" s="127"/>
      <c r="HN2" s="127"/>
      <c r="HO2" s="127"/>
      <c r="HP2" s="127"/>
      <c r="HQ2" s="127"/>
      <c r="HR2" s="127"/>
      <c r="HS2" s="127"/>
      <c r="HT2" s="127"/>
      <c r="HU2" s="127"/>
      <c r="HV2" s="127"/>
      <c r="HW2" s="127"/>
      <c r="HX2" s="127"/>
      <c r="HY2" s="127"/>
      <c r="HZ2" s="127"/>
      <c r="IA2" s="127"/>
      <c r="IB2" s="127"/>
      <c r="IC2" s="127"/>
      <c r="ID2" s="127"/>
      <c r="IE2" s="127"/>
      <c r="IF2" s="127"/>
      <c r="IG2" s="127"/>
      <c r="IH2" s="127"/>
      <c r="II2" s="127"/>
      <c r="IJ2" s="127"/>
      <c r="IK2" s="127"/>
      <c r="IL2" s="127"/>
      <c r="IM2" s="127"/>
      <c r="IN2" s="127"/>
      <c r="IO2" s="127"/>
      <c r="IP2" s="127"/>
      <c r="IQ2" s="127"/>
      <c r="IR2" s="127"/>
      <c r="IS2" s="127"/>
      <c r="IT2" s="127"/>
      <c r="IU2" s="127"/>
      <c r="IV2" s="127"/>
      <c r="IW2" s="127"/>
      <c r="IX2" s="127"/>
      <c r="IY2" s="127"/>
      <c r="IZ2" s="127"/>
      <c r="JA2" s="127"/>
      <c r="JB2" s="127"/>
      <c r="JC2" s="127"/>
      <c r="JD2" s="127"/>
      <c r="JE2" s="127"/>
      <c r="JF2" s="127"/>
      <c r="JG2" s="127"/>
      <c r="JH2" s="127"/>
      <c r="JI2" s="127"/>
      <c r="JJ2" s="127"/>
      <c r="JK2" s="127"/>
      <c r="JL2" s="127"/>
      <c r="JM2" s="127"/>
      <c r="JN2" s="127"/>
      <c r="JO2" s="127"/>
      <c r="JP2" s="127"/>
      <c r="JQ2" s="127"/>
      <c r="JR2" s="127"/>
      <c r="JS2" s="127"/>
      <c r="JT2" s="127"/>
      <c r="JU2" s="127"/>
      <c r="JV2" s="128"/>
      <c r="JW2" s="126" t="s">
        <v>46</v>
      </c>
      <c r="JX2" s="127"/>
      <c r="JY2" s="127"/>
      <c r="JZ2" s="127"/>
      <c r="KA2" s="127"/>
      <c r="KB2" s="127"/>
      <c r="KC2" s="127"/>
      <c r="KD2" s="127"/>
      <c r="KE2" s="127"/>
      <c r="KF2" s="127"/>
      <c r="KG2" s="127"/>
      <c r="KH2" s="127"/>
      <c r="KI2" s="127"/>
      <c r="KJ2" s="127"/>
      <c r="KK2" s="127"/>
      <c r="KL2" s="127"/>
      <c r="KM2" s="127"/>
      <c r="KN2" s="127"/>
      <c r="KO2" s="127"/>
      <c r="KP2" s="127"/>
      <c r="KQ2" s="127"/>
      <c r="KR2" s="127"/>
      <c r="KS2" s="127"/>
      <c r="KT2" s="127"/>
      <c r="KU2" s="127"/>
      <c r="KV2" s="127"/>
      <c r="KW2" s="127"/>
      <c r="KX2" s="127"/>
      <c r="KY2" s="127"/>
      <c r="KZ2" s="127"/>
      <c r="LA2" s="127"/>
      <c r="LB2" s="127"/>
      <c r="LC2" s="127"/>
      <c r="LD2" s="127"/>
      <c r="LE2" s="127"/>
      <c r="LF2" s="127"/>
      <c r="LG2" s="127"/>
      <c r="LH2" s="127"/>
      <c r="LI2" s="127"/>
      <c r="LJ2" s="127"/>
      <c r="LK2" s="127"/>
      <c r="LL2" s="127"/>
      <c r="LM2" s="127"/>
      <c r="LN2" s="127"/>
      <c r="LO2" s="127"/>
      <c r="LP2" s="127"/>
      <c r="LQ2" s="127"/>
      <c r="LR2" s="127"/>
      <c r="LS2" s="127"/>
      <c r="LT2" s="127"/>
      <c r="LU2" s="127"/>
      <c r="LV2" s="127"/>
      <c r="LW2" s="127"/>
      <c r="LX2" s="127"/>
      <c r="LY2" s="127"/>
      <c r="LZ2" s="127"/>
      <c r="MA2" s="127"/>
      <c r="MB2" s="127"/>
      <c r="MC2" s="127"/>
      <c r="MD2" s="127"/>
      <c r="ME2" s="127"/>
      <c r="MF2" s="127"/>
      <c r="MG2" s="127"/>
      <c r="MH2" s="127"/>
      <c r="MI2" s="127"/>
      <c r="MJ2" s="127"/>
      <c r="MK2" s="127"/>
      <c r="ML2" s="127"/>
      <c r="MM2" s="127"/>
      <c r="MN2" s="127"/>
      <c r="MO2" s="127"/>
      <c r="MP2" s="127"/>
      <c r="MQ2" s="127"/>
      <c r="MR2" s="127"/>
      <c r="MS2" s="127"/>
      <c r="MT2" s="127"/>
      <c r="MU2" s="127"/>
      <c r="MV2" s="127"/>
      <c r="MW2" s="127"/>
      <c r="MX2" s="127"/>
      <c r="MY2" s="127"/>
      <c r="MZ2" s="127"/>
      <c r="NA2" s="127"/>
      <c r="NB2" s="127"/>
      <c r="NC2" s="127"/>
      <c r="ND2" s="127"/>
      <c r="NE2" s="127"/>
      <c r="NF2" s="127"/>
      <c r="NG2" s="127"/>
      <c r="NH2" s="127"/>
      <c r="NI2" s="127"/>
      <c r="NJ2" s="127"/>
      <c r="NK2" s="128"/>
      <c r="NL2" s="126" t="s">
        <v>47</v>
      </c>
      <c r="NM2" s="127"/>
      <c r="NN2" s="127"/>
      <c r="NO2" s="127"/>
      <c r="NP2" s="127"/>
      <c r="NQ2" s="127"/>
      <c r="NR2" s="127"/>
      <c r="NS2" s="127"/>
      <c r="NT2" s="127"/>
      <c r="NU2" s="127"/>
      <c r="NV2" s="127"/>
      <c r="NW2" s="127"/>
      <c r="NX2" s="127"/>
      <c r="NY2" s="127"/>
      <c r="NZ2" s="127"/>
      <c r="OA2" s="127"/>
      <c r="OB2" s="127"/>
      <c r="OC2" s="127"/>
      <c r="OD2" s="127"/>
      <c r="OE2" s="127"/>
      <c r="OF2" s="127"/>
      <c r="OG2" s="127"/>
      <c r="OH2" s="127"/>
      <c r="OI2" s="127"/>
      <c r="OJ2" s="127"/>
      <c r="OK2" s="127"/>
      <c r="OL2" s="127"/>
      <c r="OM2" s="127"/>
      <c r="ON2" s="127"/>
      <c r="OO2" s="127"/>
      <c r="OP2" s="127"/>
      <c r="OQ2" s="127"/>
      <c r="OR2" s="127"/>
      <c r="OS2" s="127"/>
      <c r="OT2" s="127"/>
      <c r="OU2" s="127"/>
      <c r="OV2" s="127"/>
      <c r="OW2" s="127"/>
      <c r="OX2" s="127"/>
      <c r="OY2" s="127"/>
      <c r="OZ2" s="127"/>
      <c r="PA2" s="127"/>
      <c r="PB2" s="127"/>
      <c r="PC2" s="127"/>
      <c r="PD2" s="127"/>
      <c r="PE2" s="127"/>
      <c r="PF2" s="127"/>
      <c r="PG2" s="127"/>
      <c r="PH2" s="127"/>
      <c r="PI2" s="127"/>
      <c r="PJ2" s="127"/>
      <c r="PK2" s="127"/>
      <c r="PL2" s="127"/>
      <c r="PM2" s="127"/>
      <c r="PN2" s="127"/>
      <c r="PO2" s="127"/>
      <c r="PP2" s="127"/>
      <c r="PQ2" s="127"/>
      <c r="PR2" s="127"/>
      <c r="PS2" s="127"/>
      <c r="PT2" s="127"/>
      <c r="PU2" s="127"/>
      <c r="PV2" s="127"/>
      <c r="PW2" s="127"/>
      <c r="PX2" s="127"/>
      <c r="PY2" s="127"/>
      <c r="PZ2" s="127"/>
      <c r="QA2" s="127"/>
      <c r="QB2" s="127"/>
      <c r="QC2" s="127"/>
      <c r="QD2" s="127"/>
      <c r="QE2" s="127"/>
      <c r="QF2" s="127"/>
      <c r="QG2" s="127"/>
      <c r="QH2" s="127"/>
      <c r="QI2" s="127"/>
      <c r="QJ2" s="127"/>
      <c r="QK2" s="127"/>
      <c r="QL2" s="127"/>
      <c r="QM2" s="127"/>
      <c r="QN2" s="127"/>
      <c r="QO2" s="127"/>
      <c r="QP2" s="127"/>
      <c r="QQ2" s="127"/>
      <c r="QR2" s="127"/>
      <c r="QS2" s="127"/>
      <c r="QT2" s="127"/>
      <c r="QU2" s="127"/>
      <c r="QV2" s="127"/>
      <c r="QW2" s="127"/>
      <c r="QX2" s="127"/>
      <c r="QY2" s="127"/>
      <c r="QZ2" s="128"/>
      <c r="RA2" s="126" t="s">
        <v>48</v>
      </c>
      <c r="RB2" s="127"/>
      <c r="RC2" s="127"/>
      <c r="RD2" s="127"/>
      <c r="RE2" s="127"/>
      <c r="RF2" s="127"/>
      <c r="RG2" s="127"/>
      <c r="RH2" s="127"/>
      <c r="RI2" s="127"/>
      <c r="RJ2" s="127"/>
      <c r="RK2" s="127"/>
      <c r="RL2" s="127"/>
      <c r="RM2" s="127"/>
      <c r="RN2" s="127"/>
      <c r="RO2" s="127"/>
      <c r="RP2" s="127"/>
      <c r="RQ2" s="127"/>
      <c r="RR2" s="127"/>
      <c r="RS2" s="127"/>
      <c r="RT2" s="127"/>
      <c r="RU2" s="127"/>
      <c r="RV2" s="127"/>
      <c r="RW2" s="127"/>
      <c r="RX2" s="127"/>
      <c r="RY2" s="127"/>
      <c r="RZ2" s="127"/>
      <c r="SA2" s="127"/>
      <c r="SB2" s="127"/>
      <c r="SC2" s="127"/>
      <c r="SD2" s="127"/>
      <c r="SE2" s="127"/>
      <c r="SF2" s="127"/>
      <c r="SG2" s="127"/>
      <c r="SH2" s="127"/>
      <c r="SI2" s="127"/>
      <c r="SJ2" s="127"/>
      <c r="SK2" s="127"/>
      <c r="SL2" s="127"/>
      <c r="SM2" s="127"/>
      <c r="SN2" s="127"/>
      <c r="SO2" s="127"/>
      <c r="SP2" s="127"/>
      <c r="SQ2" s="127"/>
      <c r="SR2" s="127"/>
      <c r="SS2" s="127"/>
      <c r="ST2" s="127"/>
      <c r="SU2" s="127"/>
      <c r="SV2" s="127"/>
      <c r="SW2" s="127"/>
      <c r="SX2" s="127"/>
      <c r="SY2" s="127"/>
      <c r="SZ2" s="127"/>
      <c r="TA2" s="127"/>
      <c r="TB2" s="127"/>
      <c r="TC2" s="127"/>
      <c r="TD2" s="127"/>
      <c r="TE2" s="127"/>
      <c r="TF2" s="127"/>
      <c r="TG2" s="127"/>
      <c r="TH2" s="127"/>
      <c r="TI2" s="127"/>
      <c r="TJ2" s="127"/>
      <c r="TK2" s="127"/>
      <c r="TL2" s="127"/>
      <c r="TM2" s="127"/>
      <c r="TN2" s="127"/>
      <c r="TO2" s="127"/>
      <c r="TP2" s="127"/>
      <c r="TQ2" s="127"/>
      <c r="TR2" s="127"/>
      <c r="TS2" s="127"/>
      <c r="TT2" s="127"/>
      <c r="TU2" s="127"/>
      <c r="TV2" s="127"/>
      <c r="TW2" s="127"/>
      <c r="TX2" s="127"/>
      <c r="TY2" s="127"/>
      <c r="TZ2" s="127"/>
      <c r="UA2" s="127"/>
      <c r="UB2" s="127"/>
      <c r="UC2" s="127"/>
      <c r="UD2" s="127"/>
      <c r="UE2" s="127"/>
      <c r="UF2" s="127"/>
      <c r="UG2" s="127"/>
      <c r="UH2" s="127"/>
      <c r="UI2" s="127"/>
      <c r="UJ2" s="127"/>
      <c r="UK2" s="127"/>
      <c r="UL2" s="127"/>
      <c r="UM2" s="127"/>
      <c r="UN2" s="127"/>
      <c r="UO2" s="128"/>
    </row>
    <row r="3" spans="1:561" ht="19.5" customHeight="1" x14ac:dyDescent="0.2">
      <c r="A3" s="87"/>
      <c r="B3" s="129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113"/>
      <c r="JO3" s="111"/>
      <c r="JP3" s="112"/>
      <c r="JQ3" s="113"/>
      <c r="JR3" s="111"/>
      <c r="JS3" s="112"/>
      <c r="JT3" s="113"/>
      <c r="JU3" s="111"/>
      <c r="JV3" s="114"/>
      <c r="JW3" s="110"/>
      <c r="JX3" s="111"/>
      <c r="JY3" s="112"/>
      <c r="JZ3" s="113"/>
      <c r="KA3" s="111"/>
      <c r="KB3" s="112"/>
      <c r="KC3" s="113"/>
      <c r="KD3" s="111"/>
      <c r="KE3" s="112"/>
      <c r="KF3" s="113"/>
      <c r="KG3" s="111"/>
      <c r="KH3" s="112"/>
      <c r="KI3" s="113"/>
      <c r="KJ3" s="111"/>
      <c r="KK3" s="112"/>
      <c r="KL3" s="113"/>
      <c r="KM3" s="111"/>
      <c r="KN3" s="112"/>
      <c r="KO3" s="113"/>
      <c r="KP3" s="111"/>
      <c r="KQ3" s="112"/>
      <c r="KR3" s="113"/>
      <c r="KS3" s="111"/>
      <c r="KT3" s="112"/>
      <c r="KU3" s="113"/>
      <c r="KV3" s="111"/>
      <c r="KW3" s="112"/>
      <c r="KX3" s="113"/>
      <c r="KY3" s="111"/>
      <c r="KZ3" s="112"/>
      <c r="LA3" s="113"/>
      <c r="LB3" s="111"/>
      <c r="LC3" s="112"/>
      <c r="LD3" s="113"/>
      <c r="LE3" s="111"/>
      <c r="LF3" s="112"/>
      <c r="LG3" s="113"/>
      <c r="LH3" s="111"/>
      <c r="LI3" s="112"/>
      <c r="LJ3" s="113"/>
      <c r="LK3" s="111"/>
      <c r="LL3" s="112"/>
      <c r="LM3" s="113"/>
      <c r="LN3" s="111"/>
      <c r="LO3" s="112"/>
      <c r="LP3" s="91"/>
      <c r="LQ3" s="89"/>
      <c r="LR3" s="90"/>
      <c r="LS3" s="91"/>
      <c r="LT3" s="89"/>
      <c r="LU3" s="90"/>
      <c r="LV3" s="91"/>
      <c r="LW3" s="89"/>
      <c r="LX3" s="90"/>
      <c r="LY3" s="91"/>
      <c r="LZ3" s="89"/>
      <c r="MA3" s="90"/>
      <c r="MB3" s="91"/>
      <c r="MC3" s="89"/>
      <c r="MD3" s="90"/>
      <c r="ME3" s="91"/>
      <c r="MF3" s="89"/>
      <c r="MG3" s="90"/>
      <c r="MH3" s="91"/>
      <c r="MI3" s="89"/>
      <c r="MJ3" s="90"/>
      <c r="MK3" s="91"/>
      <c r="ML3" s="89"/>
      <c r="MM3" s="90"/>
      <c r="MN3" s="91"/>
      <c r="MO3" s="89"/>
      <c r="MP3" s="90"/>
      <c r="MQ3" s="91"/>
      <c r="MR3" s="89"/>
      <c r="MS3" s="90"/>
      <c r="MT3" s="91"/>
      <c r="MU3" s="89"/>
      <c r="MV3" s="90"/>
      <c r="MW3" s="91"/>
      <c r="MX3" s="89"/>
      <c r="MY3" s="90"/>
      <c r="MZ3" s="91"/>
      <c r="NA3" s="89"/>
      <c r="NB3" s="90"/>
      <c r="NC3" s="113"/>
      <c r="ND3" s="111"/>
      <c r="NE3" s="112"/>
      <c r="NF3" s="113"/>
      <c r="NG3" s="111"/>
      <c r="NH3" s="112"/>
      <c r="NI3" s="113"/>
      <c r="NJ3" s="111"/>
      <c r="NK3" s="114"/>
      <c r="NL3" s="110"/>
      <c r="NM3" s="111"/>
      <c r="NN3" s="112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112"/>
      <c r="PE3" s="113"/>
      <c r="PF3" s="111"/>
      <c r="PG3" s="112"/>
      <c r="PH3" s="113"/>
      <c r="PI3" s="111"/>
      <c r="PJ3" s="112"/>
      <c r="PK3" s="113"/>
      <c r="PL3" s="111"/>
      <c r="PM3" s="112"/>
      <c r="PN3" s="113"/>
      <c r="PO3" s="111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89"/>
      <c r="RX3" s="90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0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1" t="str">
        <f>Donnees!$C$21</f>
        <v>Analyse base de données</v>
      </c>
      <c r="C5" s="98">
        <v>15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0"/>
      <c r="AN5" s="91"/>
      <c r="AO5" s="111"/>
      <c r="AP5" s="112"/>
      <c r="AQ5" s="113"/>
      <c r="AR5" s="111"/>
      <c r="AS5" s="112"/>
      <c r="AT5" s="113"/>
      <c r="AU5" s="111"/>
      <c r="AV5" s="112"/>
      <c r="AW5" s="113"/>
      <c r="AX5" s="111"/>
      <c r="AY5" s="112"/>
      <c r="AZ5" s="113"/>
      <c r="BA5" s="111"/>
      <c r="BB5" s="112"/>
      <c r="BC5" s="113"/>
      <c r="BD5" s="89"/>
      <c r="BE5" s="90"/>
      <c r="BF5" s="91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5"/>
      <c r="C6" s="99">
        <v>0</v>
      </c>
      <c r="D6" s="93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96"/>
      <c r="Q6" s="94"/>
      <c r="R6" s="95"/>
      <c r="S6" s="96"/>
      <c r="T6" s="94"/>
      <c r="U6" s="95"/>
      <c r="V6" s="96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4" t="str">
        <f>Donnees!$C$22</f>
        <v>Analyse connexion c# et sql server</v>
      </c>
      <c r="C7" s="98">
        <v>16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113"/>
      <c r="CB7" s="111"/>
      <c r="CC7" s="112"/>
      <c r="CD7" s="113"/>
      <c r="CE7" s="111"/>
      <c r="CF7" s="112"/>
      <c r="CG7" s="113"/>
      <c r="CH7" s="111"/>
      <c r="CI7" s="112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113"/>
      <c r="CW7" s="111"/>
      <c r="CX7" s="112"/>
      <c r="CY7" s="113"/>
      <c r="CZ7" s="111"/>
      <c r="DA7" s="112"/>
      <c r="DB7" s="113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5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4" t="str">
        <f>Donnees!$C$23</f>
        <v>Création de l'interface graphique</v>
      </c>
      <c r="C9" s="98">
        <v>27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111"/>
      <c r="AD9" s="112"/>
      <c r="AE9" s="113"/>
      <c r="AF9" s="111"/>
      <c r="AG9" s="112"/>
      <c r="AH9" s="113"/>
      <c r="AI9" s="111"/>
      <c r="AJ9" s="112"/>
      <c r="AK9" s="113"/>
      <c r="AL9" s="111"/>
      <c r="AM9" s="112"/>
      <c r="AN9" s="113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112"/>
      <c r="DK9" s="113"/>
      <c r="DL9" s="111"/>
      <c r="DM9" s="112"/>
      <c r="DN9" s="113"/>
      <c r="DO9" s="111"/>
      <c r="DP9" s="112"/>
      <c r="DQ9" s="113"/>
      <c r="DR9" s="111"/>
      <c r="DS9" s="112"/>
      <c r="DT9" s="113"/>
      <c r="DU9" s="111"/>
      <c r="DV9" s="112"/>
      <c r="DW9" s="113"/>
      <c r="DX9" s="111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5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4" t="str">
        <f>Donnees!$C$24</f>
        <v>Journal de travail</v>
      </c>
      <c r="C11" s="98">
        <v>22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111"/>
      <c r="BE11" s="112"/>
      <c r="BF11" s="113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113"/>
      <c r="DI11" s="111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111"/>
      <c r="JJ11" s="112"/>
      <c r="JK11" s="113"/>
      <c r="JL11" s="111"/>
      <c r="JM11" s="112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113"/>
      <c r="MU11" s="111"/>
      <c r="MV11" s="112"/>
      <c r="MW11" s="113"/>
      <c r="MX11" s="111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112"/>
      <c r="OP11" s="113"/>
      <c r="OQ11" s="111"/>
      <c r="OR11" s="112"/>
      <c r="OS11" s="113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113"/>
      <c r="QD11" s="111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5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4" t="str">
        <f>Donnees!$C$25</f>
        <v>Documentation</v>
      </c>
      <c r="C13" s="98">
        <v>85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111"/>
      <c r="BH13" s="112"/>
      <c r="BI13" s="113"/>
      <c r="BJ13" s="111"/>
      <c r="BK13" s="112"/>
      <c r="BL13" s="113"/>
      <c r="BM13" s="111"/>
      <c r="BN13" s="112"/>
      <c r="BO13" s="113"/>
      <c r="BP13" s="111"/>
      <c r="BQ13" s="112"/>
      <c r="BR13" s="113"/>
      <c r="BS13" s="111"/>
      <c r="BT13" s="112"/>
      <c r="BU13" s="113"/>
      <c r="BV13" s="111"/>
      <c r="BW13" s="112"/>
      <c r="BX13" s="113"/>
      <c r="BY13" s="111"/>
      <c r="BZ13" s="112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111"/>
      <c r="DD13" s="112"/>
      <c r="DE13" s="113"/>
      <c r="DF13" s="111"/>
      <c r="DG13" s="112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112"/>
      <c r="EO13" s="113"/>
      <c r="EP13" s="111"/>
      <c r="EQ13" s="112"/>
      <c r="ER13" s="113"/>
      <c r="ES13" s="111"/>
      <c r="ET13" s="112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111"/>
      <c r="IF13" s="112"/>
      <c r="IG13" s="113"/>
      <c r="IH13" s="111"/>
      <c r="II13" s="112"/>
      <c r="IJ13" s="113"/>
      <c r="IK13" s="111"/>
      <c r="IL13" s="112"/>
      <c r="IM13" s="113"/>
      <c r="IN13" s="111"/>
      <c r="IO13" s="112"/>
      <c r="IP13" s="113"/>
      <c r="IQ13" s="111"/>
      <c r="IR13" s="112"/>
      <c r="IS13" s="113"/>
      <c r="IT13" s="111"/>
      <c r="IU13" s="112"/>
      <c r="IV13" s="113"/>
      <c r="IW13" s="111"/>
      <c r="IX13" s="112"/>
      <c r="IY13" s="113"/>
      <c r="IZ13" s="111"/>
      <c r="JA13" s="112"/>
      <c r="JB13" s="113"/>
      <c r="JC13" s="111"/>
      <c r="JD13" s="112"/>
      <c r="JE13" s="113"/>
      <c r="JF13" s="111"/>
      <c r="JG13" s="112"/>
      <c r="JH13" s="113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112"/>
      <c r="MZ13" s="113"/>
      <c r="NA13" s="111"/>
      <c r="NB13" s="112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113"/>
      <c r="NP13" s="111"/>
      <c r="NQ13" s="112"/>
      <c r="NR13" s="113"/>
      <c r="NS13" s="111"/>
      <c r="NT13" s="112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111"/>
      <c r="OU13" s="112"/>
      <c r="OV13" s="113"/>
      <c r="OW13" s="111"/>
      <c r="OX13" s="112"/>
      <c r="OY13" s="113"/>
      <c r="OZ13" s="111"/>
      <c r="PA13" s="112"/>
      <c r="PB13" s="113"/>
      <c r="PC13" s="111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113"/>
      <c r="QA13" s="111"/>
      <c r="QB13" s="112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5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4" t="str">
        <f>Donnees!$C$26</f>
        <v>Création de la base de données</v>
      </c>
      <c r="C15" s="98">
        <v>15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112"/>
      <c r="DZ15" s="113"/>
      <c r="EA15" s="111"/>
      <c r="EB15" s="112"/>
      <c r="EC15" s="113"/>
      <c r="ED15" s="111"/>
      <c r="EE15" s="112"/>
      <c r="EF15" s="113"/>
      <c r="EG15" s="111"/>
      <c r="EH15" s="112"/>
      <c r="EI15" s="113"/>
      <c r="EJ15" s="111"/>
      <c r="EK15" s="112"/>
      <c r="EL15" s="113"/>
      <c r="EM15" s="111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5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4" t="str">
        <f>Donnees!$C$27</f>
        <v>Développement : récuperer les images avec le mot et afficher dans l'application</v>
      </c>
      <c r="C17" s="98">
        <v>55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113"/>
      <c r="EV17" s="111"/>
      <c r="EW17" s="112"/>
      <c r="EX17" s="113"/>
      <c r="EY17" s="111"/>
      <c r="EZ17" s="112"/>
      <c r="FA17" s="113"/>
      <c r="FB17" s="111"/>
      <c r="FC17" s="112"/>
      <c r="FD17" s="113"/>
      <c r="FE17" s="111"/>
      <c r="FF17" s="112"/>
      <c r="FG17" s="113"/>
      <c r="FH17" s="111"/>
      <c r="FI17" s="112"/>
      <c r="FJ17" s="113"/>
      <c r="FK17" s="111"/>
      <c r="FL17" s="112"/>
      <c r="FM17" s="113"/>
      <c r="FN17" s="111"/>
      <c r="FO17" s="112"/>
      <c r="FP17" s="113"/>
      <c r="FQ17" s="111"/>
      <c r="FR17" s="112"/>
      <c r="FS17" s="113"/>
      <c r="FT17" s="89"/>
      <c r="FU17" s="90"/>
      <c r="FV17" s="91"/>
      <c r="FW17" s="89"/>
      <c r="FX17" s="90"/>
      <c r="FY17" s="113"/>
      <c r="FZ17" s="111"/>
      <c r="GA17" s="112"/>
      <c r="GB17" s="113"/>
      <c r="GC17" s="111"/>
      <c r="GD17" s="112"/>
      <c r="GE17" s="113"/>
      <c r="GF17" s="111"/>
      <c r="GG17" s="114"/>
      <c r="GH17" s="110"/>
      <c r="GI17" s="111"/>
      <c r="GJ17" s="112"/>
      <c r="GK17" s="113"/>
      <c r="GL17" s="111"/>
      <c r="GM17" s="112"/>
      <c r="GN17" s="113"/>
      <c r="GO17" s="111"/>
      <c r="GP17" s="112"/>
      <c r="GQ17" s="113"/>
      <c r="GR17" s="111"/>
      <c r="GS17" s="112"/>
      <c r="GT17" s="113"/>
      <c r="GU17" s="111"/>
      <c r="GV17" s="112"/>
      <c r="GW17" s="113"/>
      <c r="GX17" s="111"/>
      <c r="GY17" s="112"/>
      <c r="GZ17" s="113"/>
      <c r="HA17" s="111"/>
      <c r="HB17" s="112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5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4" t="str">
        <f>Donnees!$C$28</f>
        <v>Développement : afficher les lettres du mot à trouver aléatoirement</v>
      </c>
      <c r="C19" s="98">
        <v>18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112"/>
      <c r="HI19" s="113"/>
      <c r="HJ19" s="111"/>
      <c r="HK19" s="112"/>
      <c r="HL19" s="113"/>
      <c r="HM19" s="111"/>
      <c r="HN19" s="112"/>
      <c r="HO19" s="113"/>
      <c r="HP19" s="111"/>
      <c r="HQ19" s="112"/>
      <c r="HR19" s="113"/>
      <c r="HS19" s="111"/>
      <c r="HT19" s="112"/>
      <c r="HU19" s="113"/>
      <c r="HV19" s="111"/>
      <c r="HW19" s="112"/>
      <c r="HX19" s="113"/>
      <c r="HY19" s="111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5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4" t="str">
        <f>Donnees!$C$29</f>
        <v>Développement : ajouter une fonctionnalité pour ajouter des nouveaux mots avec des images</v>
      </c>
      <c r="C21" s="98">
        <v>30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113"/>
      <c r="LQ21" s="111"/>
      <c r="LR21" s="112"/>
      <c r="LS21" s="113"/>
      <c r="LT21" s="111"/>
      <c r="LU21" s="112"/>
      <c r="LV21" s="113"/>
      <c r="LW21" s="111"/>
      <c r="LX21" s="112"/>
      <c r="LY21" s="113"/>
      <c r="LZ21" s="111"/>
      <c r="MA21" s="112"/>
      <c r="MB21" s="113"/>
      <c r="MC21" s="111"/>
      <c r="MD21" s="112"/>
      <c r="ME21" s="113"/>
      <c r="MF21" s="111"/>
      <c r="MG21" s="112"/>
      <c r="MH21" s="113"/>
      <c r="MI21" s="111"/>
      <c r="MJ21" s="112"/>
      <c r="MK21" s="113"/>
      <c r="ML21" s="111"/>
      <c r="MM21" s="112"/>
      <c r="MN21" s="113"/>
      <c r="MO21" s="111"/>
      <c r="MP21" s="112"/>
      <c r="MQ21" s="113"/>
      <c r="MR21" s="111"/>
      <c r="MS21" s="112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25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24" t="str">
        <f>Donnees!$C$30</f>
        <v>Créer les tests à effectuer</v>
      </c>
      <c r="C23" s="98">
        <v>5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89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0"/>
      <c r="FJ23" s="91"/>
      <c r="FK23" s="89"/>
      <c r="FL23" s="90"/>
      <c r="FM23" s="91"/>
      <c r="FN23" s="89"/>
      <c r="FO23" s="90"/>
      <c r="FP23" s="91"/>
      <c r="FQ23" s="89"/>
      <c r="FR23" s="90"/>
      <c r="FS23" s="91"/>
      <c r="FT23" s="111"/>
      <c r="FU23" s="112"/>
      <c r="FV23" s="113"/>
      <c r="FW23" s="111"/>
      <c r="FX23" s="112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25"/>
      <c r="C24" s="99">
        <v>0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24" t="str">
        <f>Donnees!$C$31</f>
        <v>Test</v>
      </c>
      <c r="C25" s="98">
        <v>40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113"/>
      <c r="HD25" s="111"/>
      <c r="HE25" s="112"/>
      <c r="HF25" s="113"/>
      <c r="HG25" s="111"/>
      <c r="HH25" s="90"/>
      <c r="HI25" s="91"/>
      <c r="HJ25" s="89"/>
      <c r="HK25" s="90"/>
      <c r="HL25" s="91"/>
      <c r="HM25" s="89"/>
      <c r="HN25" s="90"/>
      <c r="HO25" s="91"/>
      <c r="HP25" s="89"/>
      <c r="HQ25" s="90"/>
      <c r="HR25" s="91"/>
      <c r="HS25" s="89"/>
      <c r="HT25" s="90"/>
      <c r="HU25" s="91"/>
      <c r="HV25" s="89"/>
      <c r="HW25" s="90"/>
      <c r="HX25" s="91"/>
      <c r="HY25" s="89"/>
      <c r="HZ25" s="112"/>
      <c r="IA25" s="113"/>
      <c r="IB25" s="111"/>
      <c r="IC25" s="112"/>
      <c r="ID25" s="113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88"/>
      <c r="JX25" s="89"/>
      <c r="JY25" s="90"/>
      <c r="JZ25" s="91"/>
      <c r="KA25" s="89"/>
      <c r="KB25" s="90"/>
      <c r="KC25" s="91"/>
      <c r="KD25" s="89"/>
      <c r="KE25" s="90"/>
      <c r="KF25" s="91"/>
      <c r="KG25" s="89"/>
      <c r="KH25" s="90"/>
      <c r="KI25" s="91"/>
      <c r="KJ25" s="89"/>
      <c r="KK25" s="90"/>
      <c r="KL25" s="91"/>
      <c r="KM25" s="89"/>
      <c r="KN25" s="90"/>
      <c r="KO25" s="91"/>
      <c r="KP25" s="89"/>
      <c r="KQ25" s="90"/>
      <c r="KR25" s="91"/>
      <c r="KS25" s="89"/>
      <c r="KT25" s="90"/>
      <c r="KU25" s="91"/>
      <c r="KV25" s="89"/>
      <c r="KW25" s="90"/>
      <c r="KX25" s="91"/>
      <c r="KY25" s="89"/>
      <c r="KZ25" s="90"/>
      <c r="LA25" s="91"/>
      <c r="LB25" s="89"/>
      <c r="LC25" s="90"/>
      <c r="LD25" s="91"/>
      <c r="LE25" s="89"/>
      <c r="LF25" s="90"/>
      <c r="LG25" s="91"/>
      <c r="LH25" s="8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88"/>
      <c r="NM25" s="89"/>
      <c r="NN25" s="90"/>
      <c r="NO25" s="91"/>
      <c r="NP25" s="89"/>
      <c r="NQ25" s="90"/>
      <c r="NR25" s="91"/>
      <c r="NS25" s="89"/>
      <c r="NT25" s="90"/>
      <c r="NU25" s="113"/>
      <c r="NV25" s="111"/>
      <c r="NW25" s="112"/>
      <c r="NX25" s="113"/>
      <c r="NY25" s="111"/>
      <c r="NZ25" s="112"/>
      <c r="OA25" s="113"/>
      <c r="OB25" s="111"/>
      <c r="OC25" s="112"/>
      <c r="OD25" s="113"/>
      <c r="OE25" s="111"/>
      <c r="OF25" s="112"/>
      <c r="OG25" s="113"/>
      <c r="OH25" s="111"/>
      <c r="OI25" s="112"/>
      <c r="OJ25" s="113"/>
      <c r="OK25" s="111"/>
      <c r="OL25" s="112"/>
      <c r="OM25" s="113"/>
      <c r="ON25" s="111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112"/>
      <c r="PQ25" s="113"/>
      <c r="PR25" s="111"/>
      <c r="PS25" s="112"/>
      <c r="PT25" s="113"/>
      <c r="PU25" s="111"/>
      <c r="PV25" s="112"/>
      <c r="PW25" s="113"/>
      <c r="PX25" s="111"/>
      <c r="PY25" s="112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25"/>
      <c r="C26" s="99">
        <v>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94"/>
      <c r="GG26" s="97"/>
      <c r="GH26" s="93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5"/>
      <c r="ID26" s="96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5"/>
      <c r="IV26" s="96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5"/>
      <c r="JN26" s="96"/>
      <c r="JO26" s="94"/>
      <c r="JP26" s="95"/>
      <c r="JQ26" s="96"/>
      <c r="JR26" s="94"/>
      <c r="JS26" s="95"/>
      <c r="JT26" s="96"/>
      <c r="JU26" s="94"/>
      <c r="JV26" s="97"/>
      <c r="JW26" s="93"/>
      <c r="JX26" s="94"/>
      <c r="JY26" s="95"/>
      <c r="JZ26" s="96"/>
      <c r="KA26" s="94"/>
      <c r="KB26" s="95"/>
      <c r="KC26" s="96"/>
      <c r="KD26" s="94"/>
      <c r="KE26" s="95"/>
      <c r="KF26" s="96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7"/>
      <c r="NL26" s="93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5"/>
      <c r="NX26" s="96"/>
      <c r="NY26" s="94"/>
      <c r="NZ26" s="95"/>
      <c r="OA26" s="96"/>
      <c r="OB26" s="94"/>
      <c r="OC26" s="95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94"/>
      <c r="OR26" s="95"/>
      <c r="OS26" s="96"/>
      <c r="OT26" s="94"/>
      <c r="OU26" s="95"/>
      <c r="OV26" s="96"/>
      <c r="OW26" s="94"/>
      <c r="OX26" s="95"/>
      <c r="OY26" s="96"/>
      <c r="OZ26" s="94"/>
      <c r="PA26" s="95"/>
      <c r="PB26" s="96"/>
      <c r="PC26" s="94"/>
      <c r="PD26" s="95"/>
      <c r="PE26" s="96"/>
      <c r="PF26" s="94"/>
      <c r="PG26" s="95"/>
      <c r="PH26" s="96"/>
      <c r="PI26" s="94"/>
      <c r="PJ26" s="95"/>
      <c r="PK26" s="96"/>
      <c r="PL26" s="94"/>
      <c r="PM26" s="95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24" t="str">
        <f>Donnees!$C$32</f>
        <v>Planification des tâches</v>
      </c>
      <c r="C27" s="98">
        <v>32</v>
      </c>
      <c r="D27" s="88"/>
      <c r="E27" s="89"/>
      <c r="F27" s="90"/>
      <c r="G27" s="91"/>
      <c r="H27" s="89"/>
      <c r="I27" s="112"/>
      <c r="J27" s="113"/>
      <c r="K27" s="111"/>
      <c r="L27" s="112"/>
      <c r="M27" s="113"/>
      <c r="N27" s="111"/>
      <c r="O27" s="112"/>
      <c r="P27" s="113"/>
      <c r="Q27" s="111"/>
      <c r="R27" s="112"/>
      <c r="S27" s="113"/>
      <c r="T27" s="111"/>
      <c r="U27" s="112"/>
      <c r="V27" s="113"/>
      <c r="W27" s="111"/>
      <c r="X27" s="112"/>
      <c r="Y27" s="113"/>
      <c r="Z27" s="111"/>
      <c r="AA27" s="112"/>
      <c r="AB27" s="113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113"/>
      <c r="CK27" s="111"/>
      <c r="CL27" s="112"/>
      <c r="CM27" s="113"/>
      <c r="CN27" s="111"/>
      <c r="CO27" s="112"/>
      <c r="CP27" s="113"/>
      <c r="CQ27" s="111"/>
      <c r="CR27" s="114"/>
      <c r="CS27" s="110"/>
      <c r="CT27" s="111"/>
      <c r="CU27" s="112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91"/>
      <c r="PX27" s="89"/>
      <c r="PY27" s="90"/>
      <c r="PZ27" s="91"/>
      <c r="QA27" s="89"/>
      <c r="QB27" s="90"/>
      <c r="QC27" s="91"/>
      <c r="QD27" s="89"/>
      <c r="QE27" s="90"/>
      <c r="QF27" s="91"/>
      <c r="QG27" s="89"/>
      <c r="QH27" s="90"/>
      <c r="QI27" s="91"/>
      <c r="QJ27" s="89"/>
      <c r="QK27" s="90"/>
      <c r="QL27" s="91"/>
      <c r="QM27" s="89"/>
      <c r="QN27" s="90"/>
      <c r="QO27" s="91"/>
      <c r="QP27" s="8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25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94"/>
      <c r="QE28" s="95"/>
      <c r="QF28" s="96"/>
      <c r="QG28" s="94"/>
      <c r="QH28" s="95"/>
      <c r="QI28" s="96"/>
      <c r="QJ28" s="94"/>
      <c r="QK28" s="95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24" t="str">
        <f>Donnees!$C$33</f>
        <v>Discussion - Réunion</v>
      </c>
      <c r="C29" s="98">
        <v>5</v>
      </c>
      <c r="D29" s="110"/>
      <c r="E29" s="111"/>
      <c r="F29" s="112"/>
      <c r="G29" s="113"/>
      <c r="H29" s="111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90"/>
      <c r="FM29" s="91"/>
      <c r="FN29" s="89"/>
      <c r="FO29" s="90"/>
      <c r="FP29" s="91"/>
      <c r="FQ29" s="89"/>
      <c r="FR29" s="90"/>
      <c r="FS29" s="91"/>
      <c r="FT29" s="89"/>
      <c r="FU29" s="90"/>
      <c r="FV29" s="91"/>
      <c r="FW29" s="89"/>
      <c r="FX29" s="90"/>
      <c r="FY29" s="91"/>
      <c r="FZ29" s="89"/>
      <c r="GA29" s="90"/>
      <c r="GB29" s="91"/>
      <c r="GC29" s="89"/>
      <c r="GD29" s="90"/>
      <c r="GE29" s="91"/>
      <c r="GF29" s="89"/>
      <c r="GG29" s="9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x14ac:dyDescent="0.2">
      <c r="B30" s="125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5"/>
      <c r="ER30" s="96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5"/>
      <c r="FJ30" s="96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47" t="s">
        <v>16</v>
      </c>
      <c r="C31" s="49">
        <f>SUM($C$3,$C$5,$C$7,$C$9,$C$11,$C$13,$C$15,$C$17,$C$19,$C$21,$C$23,$C$25,$C$27,$C$29)</f>
        <v>443</v>
      </c>
      <c r="D31" s="101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3"/>
      <c r="CS31" s="101"/>
      <c r="CT31" s="102"/>
      <c r="CU31" s="102"/>
      <c r="CV31" s="102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2"/>
      <c r="EB31" s="102"/>
      <c r="EC31" s="102"/>
      <c r="ED31" s="102"/>
      <c r="EE31" s="102"/>
      <c r="EF31" s="102"/>
      <c r="EG31" s="102"/>
      <c r="EH31" s="102"/>
      <c r="EI31" s="102"/>
      <c r="EJ31" s="102"/>
      <c r="EK31" s="102"/>
      <c r="EL31" s="102"/>
      <c r="EM31" s="102"/>
      <c r="EN31" s="102"/>
      <c r="EO31" s="102"/>
      <c r="EP31" s="102"/>
      <c r="EQ31" s="102"/>
      <c r="ER31" s="102"/>
      <c r="ES31" s="102"/>
      <c r="ET31" s="102"/>
      <c r="EU31" s="102"/>
      <c r="EV31" s="102"/>
      <c r="EW31" s="102"/>
      <c r="EX31" s="102"/>
      <c r="EY31" s="102"/>
      <c r="EZ31" s="102"/>
      <c r="FA31" s="102"/>
      <c r="FB31" s="102"/>
      <c r="FC31" s="102"/>
      <c r="FD31" s="102"/>
      <c r="FE31" s="102"/>
      <c r="FF31" s="102"/>
      <c r="FG31" s="102"/>
      <c r="FH31" s="102"/>
      <c r="FI31" s="102"/>
      <c r="FJ31" s="102"/>
      <c r="FK31" s="102"/>
      <c r="FL31" s="102"/>
      <c r="FM31" s="102"/>
      <c r="FN31" s="102"/>
      <c r="FO31" s="102"/>
      <c r="FP31" s="102"/>
      <c r="FQ31" s="102"/>
      <c r="FR31" s="102"/>
      <c r="FS31" s="102"/>
      <c r="FT31" s="102"/>
      <c r="FU31" s="102"/>
      <c r="FV31" s="102"/>
      <c r="FW31" s="102"/>
      <c r="FX31" s="102"/>
      <c r="FY31" s="102"/>
      <c r="FZ31" s="102"/>
      <c r="GA31" s="102"/>
      <c r="GB31" s="102"/>
      <c r="GC31" s="102"/>
      <c r="GD31" s="102"/>
      <c r="GE31" s="102"/>
      <c r="GF31" s="102"/>
      <c r="GG31" s="103"/>
      <c r="GH31" s="101"/>
      <c r="GI31" s="102"/>
      <c r="GJ31" s="102"/>
      <c r="GK31" s="102"/>
      <c r="GL31" s="102"/>
      <c r="GM31" s="102"/>
      <c r="GN31" s="102"/>
      <c r="GO31" s="102"/>
      <c r="GP31" s="102"/>
      <c r="GQ31" s="102"/>
      <c r="GR31" s="102"/>
      <c r="GS31" s="102"/>
      <c r="GT31" s="102"/>
      <c r="GU31" s="102"/>
      <c r="GV31" s="102"/>
      <c r="GW31" s="102"/>
      <c r="GX31" s="102"/>
      <c r="GY31" s="102"/>
      <c r="GZ31" s="102"/>
      <c r="HA31" s="102"/>
      <c r="HB31" s="102"/>
      <c r="HC31" s="102"/>
      <c r="HD31" s="102"/>
      <c r="HE31" s="102"/>
      <c r="HF31" s="102"/>
      <c r="HG31" s="102"/>
      <c r="HH31" s="102"/>
      <c r="HI31" s="102"/>
      <c r="HJ31" s="102"/>
      <c r="HK31" s="102"/>
      <c r="HL31" s="102"/>
      <c r="HM31" s="102"/>
      <c r="HN31" s="102"/>
      <c r="HO31" s="102"/>
      <c r="HP31" s="102"/>
      <c r="HQ31" s="102"/>
      <c r="HR31" s="102"/>
      <c r="HS31" s="102"/>
      <c r="HT31" s="102"/>
      <c r="HU31" s="102"/>
      <c r="HV31" s="102"/>
      <c r="HW31" s="102"/>
      <c r="HX31" s="102"/>
      <c r="HY31" s="102"/>
      <c r="HZ31" s="102"/>
      <c r="IA31" s="102"/>
      <c r="IB31" s="102"/>
      <c r="IC31" s="102"/>
      <c r="ID31" s="102"/>
      <c r="IE31" s="102"/>
      <c r="IF31" s="102"/>
      <c r="IG31" s="102"/>
      <c r="IH31" s="102"/>
      <c r="II31" s="102"/>
      <c r="IJ31" s="102"/>
      <c r="IK31" s="102"/>
      <c r="IL31" s="102"/>
      <c r="IM31" s="102"/>
      <c r="IN31" s="102"/>
      <c r="IO31" s="102"/>
      <c r="IP31" s="102"/>
      <c r="IQ31" s="102"/>
      <c r="IR31" s="102"/>
      <c r="IS31" s="102"/>
      <c r="IT31" s="102"/>
      <c r="IU31" s="102"/>
      <c r="IV31" s="102"/>
      <c r="IW31" s="102"/>
      <c r="IX31" s="102"/>
      <c r="IY31" s="102"/>
      <c r="IZ31" s="102"/>
      <c r="JA31" s="102"/>
      <c r="JB31" s="102"/>
      <c r="JC31" s="102"/>
      <c r="JD31" s="102"/>
      <c r="JE31" s="102"/>
      <c r="JF31" s="102"/>
      <c r="JG31" s="102"/>
      <c r="JH31" s="102"/>
      <c r="JI31" s="102"/>
      <c r="JJ31" s="102"/>
      <c r="JK31" s="102"/>
      <c r="JL31" s="102"/>
      <c r="JM31" s="102"/>
      <c r="JN31" s="102"/>
      <c r="JO31" s="102"/>
      <c r="JP31" s="102"/>
      <c r="JQ31" s="102"/>
      <c r="JR31" s="102"/>
      <c r="JS31" s="102"/>
      <c r="JT31" s="102"/>
      <c r="JU31" s="102"/>
      <c r="JV31" s="103"/>
      <c r="JW31" s="101"/>
      <c r="JX31" s="102"/>
      <c r="JY31" s="102"/>
      <c r="JZ31" s="102"/>
      <c r="KA31" s="102"/>
      <c r="KB31" s="102"/>
      <c r="KC31" s="102"/>
      <c r="KD31" s="102"/>
      <c r="KE31" s="102"/>
      <c r="KF31" s="102"/>
      <c r="KG31" s="102"/>
      <c r="KH31" s="102"/>
      <c r="KI31" s="102"/>
      <c r="KJ31" s="102"/>
      <c r="KK31" s="102"/>
      <c r="KL31" s="102"/>
      <c r="KM31" s="102"/>
      <c r="KN31" s="102"/>
      <c r="KO31" s="102"/>
      <c r="KP31" s="102"/>
      <c r="KQ31" s="102"/>
      <c r="KR31" s="102"/>
      <c r="KS31" s="102"/>
      <c r="KT31" s="102"/>
      <c r="KU31" s="102"/>
      <c r="KV31" s="102"/>
      <c r="KW31" s="102"/>
      <c r="KX31" s="102"/>
      <c r="KY31" s="102"/>
      <c r="KZ31" s="102"/>
      <c r="LA31" s="102"/>
      <c r="LB31" s="102"/>
      <c r="LC31" s="102"/>
      <c r="LD31" s="102"/>
      <c r="LE31" s="102"/>
      <c r="LF31" s="102"/>
      <c r="LG31" s="102"/>
      <c r="LH31" s="102"/>
      <c r="LI31" s="102"/>
      <c r="LJ31" s="102"/>
      <c r="LK31" s="102"/>
      <c r="LL31" s="102"/>
      <c r="LM31" s="102"/>
      <c r="LN31" s="102"/>
      <c r="LO31" s="102"/>
      <c r="LP31" s="102"/>
      <c r="LQ31" s="102"/>
      <c r="LR31" s="102"/>
      <c r="LS31" s="102"/>
      <c r="LT31" s="102"/>
      <c r="LU31" s="102"/>
      <c r="LV31" s="102"/>
      <c r="LW31" s="102"/>
      <c r="LX31" s="102"/>
      <c r="LY31" s="102"/>
      <c r="LZ31" s="102"/>
      <c r="MA31" s="102"/>
      <c r="MB31" s="102"/>
      <c r="MC31" s="102"/>
      <c r="MD31" s="102"/>
      <c r="ME31" s="102"/>
      <c r="MF31" s="102"/>
      <c r="MG31" s="102"/>
      <c r="MH31" s="102"/>
      <c r="MI31" s="102"/>
      <c r="MJ31" s="102"/>
      <c r="MK31" s="102"/>
      <c r="ML31" s="102"/>
      <c r="MM31" s="102"/>
      <c r="MN31" s="102"/>
      <c r="MO31" s="102"/>
      <c r="MP31" s="102"/>
      <c r="MQ31" s="102"/>
      <c r="MR31" s="102"/>
      <c r="MS31" s="102"/>
      <c r="MT31" s="102"/>
      <c r="MU31" s="102"/>
      <c r="MV31" s="102"/>
      <c r="MW31" s="102"/>
      <c r="MX31" s="102"/>
      <c r="MY31" s="102"/>
      <c r="MZ31" s="102"/>
      <c r="NA31" s="102"/>
      <c r="NB31" s="102"/>
      <c r="NC31" s="102"/>
      <c r="ND31" s="102"/>
      <c r="NE31" s="102"/>
      <c r="NF31" s="102"/>
      <c r="NG31" s="102"/>
      <c r="NH31" s="102"/>
      <c r="NI31" s="102"/>
      <c r="NJ31" s="102"/>
      <c r="NK31" s="103"/>
      <c r="NL31" s="101"/>
      <c r="NM31" s="102"/>
      <c r="NN31" s="102"/>
      <c r="NO31" s="102"/>
      <c r="NP31" s="102"/>
      <c r="NQ31" s="102"/>
      <c r="NR31" s="102"/>
      <c r="NS31" s="102"/>
      <c r="NT31" s="102"/>
      <c r="NU31" s="102"/>
      <c r="NV31" s="102"/>
      <c r="NW31" s="102"/>
      <c r="NX31" s="102"/>
      <c r="NY31" s="102"/>
      <c r="NZ31" s="102"/>
      <c r="OA31" s="102"/>
      <c r="OB31" s="102"/>
      <c r="OC31" s="102"/>
      <c r="OD31" s="102"/>
      <c r="OE31" s="102"/>
      <c r="OF31" s="102"/>
      <c r="OG31" s="102"/>
      <c r="OH31" s="102"/>
      <c r="OI31" s="102"/>
      <c r="OJ31" s="102"/>
      <c r="OK31" s="102"/>
      <c r="OL31" s="102"/>
      <c r="OM31" s="102"/>
      <c r="ON31" s="102"/>
      <c r="OO31" s="102"/>
      <c r="OP31" s="102"/>
      <c r="OQ31" s="102"/>
      <c r="OR31" s="102"/>
      <c r="OS31" s="102"/>
      <c r="OT31" s="102"/>
      <c r="OU31" s="102"/>
      <c r="OV31" s="102"/>
      <c r="OW31" s="102"/>
      <c r="OX31" s="102"/>
      <c r="OY31" s="102"/>
      <c r="OZ31" s="102"/>
      <c r="PA31" s="102"/>
      <c r="PB31" s="102"/>
      <c r="PC31" s="102"/>
      <c r="PD31" s="102"/>
      <c r="PE31" s="102"/>
      <c r="PF31" s="102"/>
      <c r="PG31" s="102"/>
      <c r="PH31" s="102"/>
      <c r="PI31" s="102"/>
      <c r="PJ31" s="102"/>
      <c r="PK31" s="102"/>
      <c r="PL31" s="102"/>
      <c r="PM31" s="102"/>
      <c r="PN31" s="102"/>
      <c r="PO31" s="102"/>
      <c r="PP31" s="102"/>
      <c r="PQ31" s="102"/>
      <c r="PR31" s="102"/>
      <c r="PS31" s="102"/>
      <c r="PT31" s="102"/>
      <c r="PU31" s="102"/>
      <c r="PV31" s="102"/>
      <c r="PW31" s="102"/>
      <c r="PX31" s="102"/>
      <c r="PY31" s="102"/>
      <c r="PZ31" s="102"/>
      <c r="QA31" s="102"/>
      <c r="QB31" s="102"/>
      <c r="QC31" s="102"/>
      <c r="QD31" s="102"/>
      <c r="QE31" s="102"/>
      <c r="QF31" s="102"/>
      <c r="QG31" s="102"/>
      <c r="QH31" s="102"/>
      <c r="QI31" s="102"/>
      <c r="QJ31" s="102"/>
      <c r="QK31" s="102"/>
      <c r="QL31" s="102"/>
      <c r="QM31" s="102"/>
      <c r="QN31" s="102"/>
      <c r="QO31" s="102"/>
      <c r="QP31" s="102"/>
      <c r="QQ31" s="102"/>
      <c r="QR31" s="102"/>
      <c r="QS31" s="102"/>
      <c r="QT31" s="102"/>
      <c r="QU31" s="102"/>
      <c r="QV31" s="102"/>
      <c r="QW31" s="102"/>
      <c r="QX31" s="102"/>
      <c r="QY31" s="102"/>
      <c r="QZ31" s="103"/>
      <c r="RA31" s="101"/>
      <c r="RB31" s="102"/>
      <c r="RC31" s="102"/>
      <c r="RD31" s="102"/>
      <c r="RE31" s="102"/>
      <c r="RF31" s="102"/>
      <c r="RG31" s="102"/>
      <c r="RH31" s="102"/>
      <c r="RI31" s="102"/>
      <c r="RJ31" s="102"/>
      <c r="RK31" s="102"/>
      <c r="RL31" s="102"/>
      <c r="RM31" s="102"/>
      <c r="RN31" s="102"/>
      <c r="RO31" s="102"/>
      <c r="RP31" s="102"/>
      <c r="RQ31" s="102"/>
      <c r="RR31" s="102"/>
      <c r="RS31" s="102"/>
      <c r="RT31" s="102"/>
      <c r="RU31" s="102"/>
      <c r="RV31" s="102"/>
      <c r="RW31" s="102"/>
      <c r="RX31" s="102"/>
      <c r="RY31" s="102"/>
      <c r="RZ31" s="102"/>
      <c r="SA31" s="102"/>
      <c r="SB31" s="102"/>
      <c r="SC31" s="102"/>
      <c r="SD31" s="102"/>
      <c r="SE31" s="102"/>
      <c r="SF31" s="102"/>
      <c r="SG31" s="102"/>
      <c r="SH31" s="102"/>
      <c r="SI31" s="102"/>
      <c r="SJ31" s="102"/>
      <c r="SK31" s="102"/>
      <c r="SL31" s="102"/>
      <c r="SM31" s="102"/>
      <c r="SN31" s="102"/>
      <c r="SO31" s="102"/>
      <c r="SP31" s="102"/>
      <c r="SQ31" s="102"/>
      <c r="SR31" s="102"/>
      <c r="SS31" s="102"/>
      <c r="ST31" s="102"/>
      <c r="SU31" s="102"/>
      <c r="SV31" s="102"/>
      <c r="SW31" s="102"/>
      <c r="SX31" s="102"/>
      <c r="SY31" s="102"/>
      <c r="SZ31" s="102"/>
      <c r="TA31" s="102"/>
      <c r="TB31" s="102"/>
      <c r="TC31" s="102"/>
      <c r="TD31" s="102"/>
      <c r="TE31" s="102"/>
      <c r="TF31" s="102"/>
      <c r="TG31" s="102"/>
      <c r="TH31" s="102"/>
      <c r="TI31" s="102"/>
      <c r="TJ31" s="102"/>
      <c r="TK31" s="102"/>
      <c r="TL31" s="102"/>
      <c r="TM31" s="102"/>
      <c r="TN31" s="102"/>
      <c r="TO31" s="102"/>
      <c r="TP31" s="102"/>
      <c r="TQ31" s="102"/>
      <c r="TR31" s="102"/>
      <c r="TS31" s="102"/>
      <c r="TT31" s="102"/>
      <c r="TU31" s="102"/>
      <c r="TV31" s="102"/>
      <c r="TW31" s="102"/>
      <c r="TX31" s="102"/>
      <c r="TY31" s="102"/>
      <c r="TZ31" s="102"/>
      <c r="UA31" s="102"/>
      <c r="UB31" s="102"/>
      <c r="UC31" s="102"/>
      <c r="UD31" s="102"/>
      <c r="UE31" s="102"/>
      <c r="UF31" s="102"/>
      <c r="UG31" s="102"/>
      <c r="UH31" s="102"/>
      <c r="UI31" s="102"/>
      <c r="UJ31" s="102"/>
      <c r="UK31" s="102"/>
      <c r="UL31" s="102"/>
      <c r="UM31" s="102"/>
      <c r="UN31" s="102"/>
      <c r="UO31" s="103"/>
    </row>
    <row r="32" spans="2:561" ht="19.5" customHeight="1" thickBot="1" x14ac:dyDescent="0.25">
      <c r="B32" s="48" t="s">
        <v>17</v>
      </c>
      <c r="C32" s="50">
        <f>SUM($C$4,$C$6,$C$8,$C$10,$C$12,$C$14,$C$16,$C$18,$C$20,$C$22,$C$24,$C$26,$C$28,$C$30)</f>
        <v>0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5"/>
      <c r="CE32" s="105"/>
      <c r="CF32" s="105"/>
      <c r="CG32" s="105"/>
      <c r="CH32" s="105"/>
      <c r="CI32" s="105"/>
      <c r="CJ32" s="105"/>
      <c r="CK32" s="105"/>
      <c r="CL32" s="105"/>
      <c r="CM32" s="105"/>
      <c r="CN32" s="105"/>
      <c r="CO32" s="105"/>
      <c r="CP32" s="105"/>
      <c r="CQ32" s="105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5"/>
      <c r="DJ32" s="105"/>
      <c r="DK32" s="105"/>
      <c r="DL32" s="105"/>
      <c r="DM32" s="105"/>
      <c r="DN32" s="105"/>
      <c r="DO32" s="105"/>
      <c r="DP32" s="105"/>
      <c r="DQ32" s="105"/>
      <c r="DR32" s="105"/>
      <c r="DS32" s="105"/>
      <c r="DT32" s="105"/>
      <c r="DU32" s="105"/>
      <c r="DV32" s="105"/>
      <c r="DW32" s="105"/>
      <c r="DX32" s="105"/>
      <c r="DY32" s="105"/>
      <c r="DZ32" s="105"/>
      <c r="EA32" s="105"/>
      <c r="EB32" s="105"/>
      <c r="EC32" s="105"/>
      <c r="ED32" s="105"/>
      <c r="EE32" s="105"/>
      <c r="EF32" s="105"/>
      <c r="EG32" s="105"/>
      <c r="EH32" s="105"/>
      <c r="EI32" s="105"/>
      <c r="EJ32" s="105"/>
      <c r="EK32" s="105"/>
      <c r="EL32" s="105"/>
      <c r="EM32" s="105"/>
      <c r="EN32" s="105"/>
      <c r="EO32" s="105"/>
      <c r="EP32" s="105"/>
      <c r="EQ32" s="105"/>
      <c r="ER32" s="105"/>
      <c r="ES32" s="105"/>
      <c r="ET32" s="105"/>
      <c r="EU32" s="105"/>
      <c r="EV32" s="105"/>
      <c r="EW32" s="105"/>
      <c r="EX32" s="105"/>
      <c r="EY32" s="105"/>
      <c r="EZ32" s="105"/>
      <c r="FA32" s="105"/>
      <c r="FB32" s="105"/>
      <c r="FC32" s="105"/>
      <c r="FD32" s="105"/>
      <c r="FE32" s="105"/>
      <c r="FF32" s="105"/>
      <c r="FG32" s="105"/>
      <c r="FH32" s="105"/>
      <c r="FI32" s="105"/>
      <c r="FJ32" s="105"/>
      <c r="FK32" s="105"/>
      <c r="FL32" s="105"/>
      <c r="FM32" s="105"/>
      <c r="FN32" s="105"/>
      <c r="FO32" s="105"/>
      <c r="FP32" s="105"/>
      <c r="FQ32" s="105"/>
      <c r="FR32" s="105"/>
      <c r="FS32" s="105"/>
      <c r="FT32" s="105"/>
      <c r="FU32" s="105"/>
      <c r="FV32" s="105"/>
      <c r="FW32" s="105"/>
      <c r="FX32" s="105"/>
      <c r="FY32" s="105"/>
      <c r="FZ32" s="105"/>
      <c r="GA32" s="105"/>
      <c r="GB32" s="105"/>
      <c r="GC32" s="105"/>
      <c r="GD32" s="105"/>
      <c r="GE32" s="105"/>
      <c r="GF32" s="105"/>
      <c r="GG32" s="106"/>
      <c r="GH32" s="104"/>
      <c r="GI32" s="105"/>
      <c r="GJ32" s="105"/>
      <c r="GK32" s="105"/>
      <c r="GL32" s="105"/>
      <c r="GM32" s="105"/>
      <c r="GN32" s="105"/>
      <c r="GO32" s="105"/>
      <c r="GP32" s="105"/>
      <c r="GQ32" s="105"/>
      <c r="GR32" s="105"/>
      <c r="GS32" s="105"/>
      <c r="GT32" s="105"/>
      <c r="GU32" s="105"/>
      <c r="GV32" s="105"/>
      <c r="GW32" s="105"/>
      <c r="GX32" s="105"/>
      <c r="GY32" s="105"/>
      <c r="GZ32" s="105"/>
      <c r="HA32" s="105"/>
      <c r="HB32" s="105"/>
      <c r="HC32" s="105"/>
      <c r="HD32" s="105"/>
      <c r="HE32" s="105"/>
      <c r="HF32" s="105"/>
      <c r="HG32" s="105"/>
      <c r="HH32" s="105"/>
      <c r="HI32" s="105"/>
      <c r="HJ32" s="105"/>
      <c r="HK32" s="105"/>
      <c r="HL32" s="105"/>
      <c r="HM32" s="105"/>
      <c r="HN32" s="105"/>
      <c r="HO32" s="105"/>
      <c r="HP32" s="105"/>
      <c r="HQ32" s="105"/>
      <c r="HR32" s="105"/>
      <c r="HS32" s="105"/>
      <c r="HT32" s="105"/>
      <c r="HU32" s="105"/>
      <c r="HV32" s="105"/>
      <c r="HW32" s="105"/>
      <c r="HX32" s="105"/>
      <c r="HY32" s="105"/>
      <c r="HZ32" s="105"/>
      <c r="IA32" s="105"/>
      <c r="IB32" s="105"/>
      <c r="IC32" s="105"/>
      <c r="ID32" s="105"/>
      <c r="IE32" s="105"/>
      <c r="IF32" s="105"/>
      <c r="IG32" s="105"/>
      <c r="IH32" s="105"/>
      <c r="II32" s="105"/>
      <c r="IJ32" s="105"/>
      <c r="IK32" s="105"/>
      <c r="IL32" s="105"/>
      <c r="IM32" s="105"/>
      <c r="IN32" s="105"/>
      <c r="IO32" s="105"/>
      <c r="IP32" s="105"/>
      <c r="IQ32" s="105"/>
      <c r="IR32" s="105"/>
      <c r="IS32" s="105"/>
      <c r="IT32" s="105"/>
      <c r="IU32" s="105"/>
      <c r="IV32" s="105"/>
      <c r="IW32" s="105"/>
      <c r="IX32" s="105"/>
      <c r="IY32" s="105"/>
      <c r="IZ32" s="105"/>
      <c r="JA32" s="105"/>
      <c r="JB32" s="105"/>
      <c r="JC32" s="105"/>
      <c r="JD32" s="105"/>
      <c r="JE32" s="105"/>
      <c r="JF32" s="105"/>
      <c r="JG32" s="105"/>
      <c r="JH32" s="105"/>
      <c r="JI32" s="105"/>
      <c r="JJ32" s="105"/>
      <c r="JK32" s="105"/>
      <c r="JL32" s="105"/>
      <c r="JM32" s="105"/>
      <c r="JN32" s="105"/>
      <c r="JO32" s="105"/>
      <c r="JP32" s="105"/>
      <c r="JQ32" s="105"/>
      <c r="JR32" s="105"/>
      <c r="JS32" s="105"/>
      <c r="JT32" s="105"/>
      <c r="JU32" s="105"/>
      <c r="JV32" s="106"/>
      <c r="JW32" s="104"/>
      <c r="JX32" s="105"/>
      <c r="JY32" s="105"/>
      <c r="JZ32" s="105"/>
      <c r="KA32" s="105"/>
      <c r="KB32" s="105"/>
      <c r="KC32" s="105"/>
      <c r="KD32" s="105"/>
      <c r="KE32" s="105"/>
      <c r="KF32" s="105"/>
      <c r="KG32" s="105"/>
      <c r="KH32" s="105"/>
      <c r="KI32" s="105"/>
      <c r="KJ32" s="105"/>
      <c r="KK32" s="105"/>
      <c r="KL32" s="105"/>
      <c r="KM32" s="105"/>
      <c r="KN32" s="105"/>
      <c r="KO32" s="105"/>
      <c r="KP32" s="105"/>
      <c r="KQ32" s="105"/>
      <c r="KR32" s="105"/>
      <c r="KS32" s="105"/>
      <c r="KT32" s="105"/>
      <c r="KU32" s="105"/>
      <c r="KV32" s="105"/>
      <c r="KW32" s="105"/>
      <c r="KX32" s="105"/>
      <c r="KY32" s="105"/>
      <c r="KZ32" s="105"/>
      <c r="LA32" s="105"/>
      <c r="LB32" s="105"/>
      <c r="LC32" s="105"/>
      <c r="LD32" s="105"/>
      <c r="LE32" s="105"/>
      <c r="LF32" s="105"/>
      <c r="LG32" s="105"/>
      <c r="LH32" s="105"/>
      <c r="LI32" s="105"/>
      <c r="LJ32" s="105"/>
      <c r="LK32" s="105"/>
      <c r="LL32" s="105"/>
      <c r="LM32" s="105"/>
      <c r="LN32" s="105"/>
      <c r="LO32" s="105"/>
      <c r="LP32" s="105"/>
      <c r="LQ32" s="105"/>
      <c r="LR32" s="105"/>
      <c r="LS32" s="105"/>
      <c r="LT32" s="105"/>
      <c r="LU32" s="105"/>
      <c r="LV32" s="105"/>
      <c r="LW32" s="105"/>
      <c r="LX32" s="105"/>
      <c r="LY32" s="105"/>
      <c r="LZ32" s="105"/>
      <c r="MA32" s="105"/>
      <c r="MB32" s="105"/>
      <c r="MC32" s="105"/>
      <c r="MD32" s="105"/>
      <c r="ME32" s="105"/>
      <c r="MF32" s="105"/>
      <c r="MG32" s="105"/>
      <c r="MH32" s="105"/>
      <c r="MI32" s="105"/>
      <c r="MJ32" s="105"/>
      <c r="MK32" s="105"/>
      <c r="ML32" s="105"/>
      <c r="MM32" s="105"/>
      <c r="MN32" s="105"/>
      <c r="MO32" s="105"/>
      <c r="MP32" s="105"/>
      <c r="MQ32" s="105"/>
      <c r="MR32" s="105"/>
      <c r="MS32" s="105"/>
      <c r="MT32" s="105"/>
      <c r="MU32" s="105"/>
      <c r="MV32" s="105"/>
      <c r="MW32" s="105"/>
      <c r="MX32" s="105"/>
      <c r="MY32" s="105"/>
      <c r="MZ32" s="105"/>
      <c r="NA32" s="105"/>
      <c r="NB32" s="105"/>
      <c r="NC32" s="105"/>
      <c r="ND32" s="105"/>
      <c r="NE32" s="105"/>
      <c r="NF32" s="105"/>
      <c r="NG32" s="105"/>
      <c r="NH32" s="105"/>
      <c r="NI32" s="105"/>
      <c r="NJ32" s="105"/>
      <c r="NK32" s="106"/>
      <c r="NL32" s="104"/>
      <c r="NM32" s="105"/>
      <c r="NN32" s="105"/>
      <c r="NO32" s="105"/>
      <c r="NP32" s="105"/>
      <c r="NQ32" s="105"/>
      <c r="NR32" s="105"/>
      <c r="NS32" s="105"/>
      <c r="NT32" s="105"/>
      <c r="NU32" s="105"/>
      <c r="NV32" s="105"/>
      <c r="NW32" s="105"/>
      <c r="NX32" s="105"/>
      <c r="NY32" s="105"/>
      <c r="NZ32" s="105"/>
      <c r="OA32" s="105"/>
      <c r="OB32" s="105"/>
      <c r="OC32" s="105"/>
      <c r="OD32" s="105"/>
      <c r="OE32" s="105"/>
      <c r="OF32" s="105"/>
      <c r="OG32" s="105"/>
      <c r="OH32" s="105"/>
      <c r="OI32" s="105"/>
      <c r="OJ32" s="105"/>
      <c r="OK32" s="105"/>
      <c r="OL32" s="105"/>
      <c r="OM32" s="105"/>
      <c r="ON32" s="105"/>
      <c r="OO32" s="105"/>
      <c r="OP32" s="105"/>
      <c r="OQ32" s="105"/>
      <c r="OR32" s="105"/>
      <c r="OS32" s="105"/>
      <c r="OT32" s="105"/>
      <c r="OU32" s="105"/>
      <c r="OV32" s="105"/>
      <c r="OW32" s="105"/>
      <c r="OX32" s="105"/>
      <c r="OY32" s="105"/>
      <c r="OZ32" s="105"/>
      <c r="PA32" s="105"/>
      <c r="PB32" s="105"/>
      <c r="PC32" s="105"/>
      <c r="PD32" s="105"/>
      <c r="PE32" s="105"/>
      <c r="PF32" s="105"/>
      <c r="PG32" s="105"/>
      <c r="PH32" s="105"/>
      <c r="PI32" s="105"/>
      <c r="PJ32" s="105"/>
      <c r="PK32" s="105"/>
      <c r="PL32" s="105"/>
      <c r="PM32" s="105"/>
      <c r="PN32" s="105"/>
      <c r="PO32" s="105"/>
      <c r="PP32" s="105"/>
      <c r="PQ32" s="105"/>
      <c r="PR32" s="105"/>
      <c r="PS32" s="105"/>
      <c r="PT32" s="105"/>
      <c r="PU32" s="105"/>
      <c r="PV32" s="105"/>
      <c r="PW32" s="105"/>
      <c r="PX32" s="105"/>
      <c r="PY32" s="105"/>
      <c r="PZ32" s="105"/>
      <c r="QA32" s="105"/>
      <c r="QB32" s="105"/>
      <c r="QC32" s="105"/>
      <c r="QD32" s="105"/>
      <c r="QE32" s="105"/>
      <c r="QF32" s="105"/>
      <c r="QG32" s="105"/>
      <c r="QH32" s="105"/>
      <c r="QI32" s="105"/>
      <c r="QJ32" s="105"/>
      <c r="QK32" s="105"/>
      <c r="QL32" s="105"/>
      <c r="QM32" s="105"/>
      <c r="QN32" s="105"/>
      <c r="QO32" s="105"/>
      <c r="QP32" s="105"/>
      <c r="QQ32" s="105"/>
      <c r="QR32" s="105"/>
      <c r="QS32" s="105"/>
      <c r="QT32" s="105"/>
      <c r="QU32" s="105"/>
      <c r="QV32" s="105"/>
      <c r="QW32" s="105"/>
      <c r="QX32" s="105"/>
      <c r="QY32" s="105"/>
      <c r="QZ32" s="106"/>
      <c r="RA32" s="104"/>
      <c r="RB32" s="105"/>
      <c r="RC32" s="105"/>
      <c r="RD32" s="105"/>
      <c r="RE32" s="105"/>
      <c r="RF32" s="105"/>
      <c r="RG32" s="105"/>
      <c r="RH32" s="105"/>
      <c r="RI32" s="105"/>
      <c r="RJ32" s="105"/>
      <c r="RK32" s="105"/>
      <c r="RL32" s="105"/>
      <c r="RM32" s="105"/>
      <c r="RN32" s="105"/>
      <c r="RO32" s="105"/>
      <c r="RP32" s="105"/>
      <c r="RQ32" s="105"/>
      <c r="RR32" s="105"/>
      <c r="RS32" s="105"/>
      <c r="RT32" s="105"/>
      <c r="RU32" s="105"/>
      <c r="RV32" s="105"/>
      <c r="RW32" s="105"/>
      <c r="RX32" s="105"/>
      <c r="RY32" s="105"/>
      <c r="RZ32" s="105"/>
      <c r="SA32" s="105"/>
      <c r="SB32" s="105"/>
      <c r="SC32" s="105"/>
      <c r="SD32" s="105"/>
      <c r="SE32" s="105"/>
      <c r="SF32" s="105"/>
      <c r="SG32" s="105"/>
      <c r="SH32" s="105"/>
      <c r="SI32" s="105"/>
      <c r="SJ32" s="105"/>
      <c r="SK32" s="105"/>
      <c r="SL32" s="105"/>
      <c r="SM32" s="105"/>
      <c r="SN32" s="105"/>
      <c r="SO32" s="105"/>
      <c r="SP32" s="105"/>
      <c r="SQ32" s="105"/>
      <c r="SR32" s="105"/>
      <c r="SS32" s="105"/>
      <c r="ST32" s="105"/>
      <c r="SU32" s="105"/>
      <c r="SV32" s="105"/>
      <c r="SW32" s="105"/>
      <c r="SX32" s="105"/>
      <c r="SY32" s="105"/>
      <c r="SZ32" s="105"/>
      <c r="TA32" s="105"/>
      <c r="TB32" s="105"/>
      <c r="TC32" s="105"/>
      <c r="TD32" s="105"/>
      <c r="TE32" s="105"/>
      <c r="TF32" s="105"/>
      <c r="TG32" s="105"/>
      <c r="TH32" s="105"/>
      <c r="TI32" s="105"/>
      <c r="TJ32" s="105"/>
      <c r="TK32" s="105"/>
      <c r="TL32" s="105"/>
      <c r="TM32" s="105"/>
      <c r="TN32" s="105"/>
      <c r="TO32" s="105"/>
      <c r="TP32" s="105"/>
      <c r="TQ32" s="105"/>
      <c r="TR32" s="105"/>
      <c r="TS32" s="105"/>
      <c r="TT32" s="105"/>
      <c r="TU32" s="105"/>
      <c r="TV32" s="105"/>
      <c r="TW32" s="105"/>
      <c r="TX32" s="105"/>
      <c r="TY32" s="105"/>
      <c r="TZ32" s="105"/>
      <c r="UA32" s="105"/>
      <c r="UB32" s="105"/>
      <c r="UC32" s="105"/>
      <c r="UD32" s="105"/>
      <c r="UE32" s="105"/>
      <c r="UF32" s="105"/>
      <c r="UG32" s="105"/>
      <c r="UH32" s="105"/>
      <c r="UI32" s="105"/>
      <c r="UJ32" s="105"/>
      <c r="UK32" s="105"/>
      <c r="UL32" s="105"/>
      <c r="UM32" s="105"/>
      <c r="UN32" s="105"/>
      <c r="UO32" s="106"/>
    </row>
  </sheetData>
  <sheetProtection sheet="1" objects="1" scenarios="1" insertRows="0" selectLockedCells="1"/>
  <mergeCells count="20">
    <mergeCell ref="RA2:UO2"/>
    <mergeCell ref="JW2:NK2"/>
    <mergeCell ref="B27:B28"/>
    <mergeCell ref="B29:B30"/>
    <mergeCell ref="D2:CR2"/>
    <mergeCell ref="CS2:GG2"/>
    <mergeCell ref="GH2:JV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NL2:QZ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9"/>
  <sheetViews>
    <sheetView view="pageBreakPreview" topLeftCell="A37" zoomScale="115" zoomScaleNormal="100" zoomScaleSheetLayoutView="115" workbookViewId="0">
      <selection activeCell="A27" sqref="A2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42</v>
      </c>
      <c r="B3" s="8">
        <v>5</v>
      </c>
      <c r="C3" s="13" t="s">
        <v>49</v>
      </c>
      <c r="D3" s="13"/>
    </row>
    <row r="4" spans="1:4" s="81" customFormat="1" ht="27" x14ac:dyDescent="0.2">
      <c r="A4" s="5" t="s">
        <v>41</v>
      </c>
      <c r="B4" s="6">
        <v>7</v>
      </c>
      <c r="C4" s="14" t="s">
        <v>51</v>
      </c>
      <c r="D4" s="14"/>
    </row>
    <row r="5" spans="1:4" s="81" customFormat="1" ht="27" x14ac:dyDescent="0.2">
      <c r="A5" s="5" t="s">
        <v>41</v>
      </c>
      <c r="B5" s="6">
        <v>9</v>
      </c>
      <c r="C5" s="14" t="s">
        <v>50</v>
      </c>
      <c r="D5" s="14"/>
    </row>
    <row r="6" spans="1:4" s="81" customFormat="1" ht="27" x14ac:dyDescent="0.2">
      <c r="A6" s="5" t="s">
        <v>41</v>
      </c>
      <c r="B6" s="6">
        <v>4</v>
      </c>
      <c r="C6" s="14" t="s">
        <v>52</v>
      </c>
      <c r="D6" s="14"/>
    </row>
    <row r="7" spans="1:4" s="81" customFormat="1" ht="27" x14ac:dyDescent="0.2">
      <c r="A7" s="6" t="s">
        <v>33</v>
      </c>
      <c r="B7" s="6">
        <v>12</v>
      </c>
      <c r="C7" s="14" t="s">
        <v>53</v>
      </c>
      <c r="D7" s="14"/>
    </row>
    <row r="8" spans="1:4" s="81" customFormat="1" ht="27" x14ac:dyDescent="0.2">
      <c r="A8" s="6" t="s">
        <v>28</v>
      </c>
      <c r="B8" s="6">
        <v>15</v>
      </c>
      <c r="C8" s="14" t="s">
        <v>54</v>
      </c>
      <c r="D8" s="14"/>
    </row>
    <row r="9" spans="1:4" s="81" customFormat="1" ht="27" x14ac:dyDescent="0.2">
      <c r="A9" s="79" t="s">
        <v>56</v>
      </c>
      <c r="B9" s="79">
        <v>5</v>
      </c>
      <c r="C9" s="80" t="s">
        <v>55</v>
      </c>
      <c r="D9" s="80"/>
    </row>
    <row r="10" spans="1:4" s="81" customFormat="1" ht="27" x14ac:dyDescent="0.2">
      <c r="A10" s="79" t="s">
        <v>56</v>
      </c>
      <c r="B10" s="79">
        <v>5</v>
      </c>
      <c r="C10" s="80" t="s">
        <v>55</v>
      </c>
      <c r="D10" s="80"/>
    </row>
    <row r="11" spans="1:4" s="81" customFormat="1" ht="13.5" x14ac:dyDescent="0.2">
      <c r="A11" s="79" t="s">
        <v>29</v>
      </c>
      <c r="B11" s="79">
        <v>3</v>
      </c>
      <c r="C11" s="80" t="s">
        <v>57</v>
      </c>
      <c r="D11" s="80"/>
    </row>
    <row r="12" spans="1:4" s="81" customFormat="1" ht="13.5" x14ac:dyDescent="0.2">
      <c r="A12" s="79" t="s">
        <v>30</v>
      </c>
      <c r="B12" s="79">
        <v>20</v>
      </c>
      <c r="C12" s="80" t="s">
        <v>65</v>
      </c>
      <c r="D12" s="80"/>
    </row>
    <row r="13" spans="1:4" s="81" customFormat="1" ht="27.75" thickBot="1" x14ac:dyDescent="0.25">
      <c r="A13" s="7" t="s">
        <v>31</v>
      </c>
      <c r="B13" s="7">
        <v>9</v>
      </c>
      <c r="C13" s="15" t="s">
        <v>58</v>
      </c>
      <c r="D13" s="15"/>
    </row>
    <row r="14" spans="1:4" ht="14.25" thickBot="1" x14ac:dyDescent="0.25">
      <c r="A14" s="16" t="s">
        <v>22</v>
      </c>
      <c r="B14" s="16">
        <f>SUM(B3:B13)</f>
        <v>94</v>
      </c>
      <c r="C14" s="83" t="s">
        <v>39</v>
      </c>
      <c r="D14" s="17"/>
    </row>
    <row r="15" spans="1:4" ht="15" thickBot="1" x14ac:dyDescent="0.35">
      <c r="A15" s="18"/>
      <c r="B15" s="18"/>
      <c r="C15" s="18"/>
      <c r="D15" s="18"/>
    </row>
    <row r="16" spans="1:4" ht="18.75" thickBot="1" x14ac:dyDescent="0.25">
      <c r="A16" s="10" t="s">
        <v>14</v>
      </c>
      <c r="B16" s="11">
        <v>2</v>
      </c>
      <c r="C16" s="31"/>
      <c r="D16" s="33"/>
    </row>
    <row r="17" spans="1:9" ht="27.75" thickBot="1" x14ac:dyDescent="0.25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27" x14ac:dyDescent="0.2">
      <c r="A18" s="9" t="s">
        <v>41</v>
      </c>
      <c r="B18" s="8">
        <v>12</v>
      </c>
      <c r="C18" s="13" t="s">
        <v>59</v>
      </c>
      <c r="D18" s="13"/>
    </row>
    <row r="19" spans="1:9" ht="27" x14ac:dyDescent="0.2">
      <c r="A19" s="5" t="s">
        <v>31</v>
      </c>
      <c r="B19" s="6">
        <v>7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30</v>
      </c>
      <c r="B20" s="6">
        <v>5</v>
      </c>
      <c r="C20" s="14" t="s">
        <v>61</v>
      </c>
      <c r="D20" s="14"/>
      <c r="E20" s="37"/>
      <c r="F20" s="54"/>
      <c r="G20" s="55"/>
      <c r="H20" s="56"/>
      <c r="I20" s="37"/>
    </row>
    <row r="21" spans="1:9" ht="12.75" customHeight="1" x14ac:dyDescent="0.2">
      <c r="A21" s="5" t="s">
        <v>29</v>
      </c>
      <c r="B21" s="6">
        <v>2</v>
      </c>
      <c r="C21" s="14" t="s">
        <v>57</v>
      </c>
      <c r="D21" s="14"/>
      <c r="E21" s="37"/>
      <c r="F21" s="54"/>
      <c r="G21" s="55"/>
      <c r="H21" s="56"/>
      <c r="I21" s="37"/>
    </row>
    <row r="22" spans="1:9" ht="27" x14ac:dyDescent="0.2">
      <c r="A22" s="5" t="s">
        <v>33</v>
      </c>
      <c r="B22" s="6">
        <v>15</v>
      </c>
      <c r="C22" s="14" t="s">
        <v>62</v>
      </c>
      <c r="D22" s="14"/>
      <c r="E22" s="37"/>
      <c r="F22" s="57"/>
      <c r="G22" s="53"/>
      <c r="H22" s="53"/>
      <c r="I22" s="37"/>
    </row>
    <row r="23" spans="1:9" ht="27" x14ac:dyDescent="0.2">
      <c r="A23" s="6" t="s">
        <v>32</v>
      </c>
      <c r="B23" s="6">
        <v>15</v>
      </c>
      <c r="C23" s="14" t="s">
        <v>63</v>
      </c>
      <c r="D23" s="14"/>
      <c r="E23" s="37"/>
      <c r="F23" s="59"/>
      <c r="G23" s="60"/>
      <c r="H23" s="60"/>
      <c r="I23" s="37"/>
    </row>
    <row r="24" spans="1:9" ht="13.5" x14ac:dyDescent="0.2">
      <c r="A24" s="6" t="s">
        <v>30</v>
      </c>
      <c r="B24" s="6">
        <v>7</v>
      </c>
      <c r="C24" s="14" t="s">
        <v>64</v>
      </c>
      <c r="D24" s="14"/>
      <c r="E24" s="37"/>
      <c r="F24" s="59"/>
      <c r="G24" s="60"/>
      <c r="H24" s="60"/>
      <c r="I24" s="37"/>
    </row>
    <row r="25" spans="1:9" ht="67.5" x14ac:dyDescent="0.2">
      <c r="A25" s="6" t="s">
        <v>35</v>
      </c>
      <c r="B25" s="6">
        <v>25</v>
      </c>
      <c r="C25" s="14" t="s">
        <v>66</v>
      </c>
      <c r="D25" s="14"/>
      <c r="E25" s="37"/>
      <c r="F25" s="59"/>
      <c r="G25" s="60"/>
      <c r="H25" s="60"/>
      <c r="I25" s="37"/>
    </row>
    <row r="26" spans="1:9" ht="27" x14ac:dyDescent="0.2">
      <c r="A26" s="6" t="s">
        <v>34</v>
      </c>
      <c r="B26" s="6">
        <v>5</v>
      </c>
      <c r="C26" s="14"/>
      <c r="D26" s="14"/>
      <c r="E26" s="37"/>
      <c r="F26" s="59"/>
      <c r="G26" s="60"/>
      <c r="H26" s="60"/>
      <c r="I26" s="37"/>
    </row>
    <row r="27" spans="1:9" ht="13.5" x14ac:dyDescent="0.2">
      <c r="A27" s="6"/>
      <c r="B27" s="6"/>
      <c r="C27" s="14"/>
      <c r="D27" s="14"/>
      <c r="E27" s="37"/>
      <c r="F27" s="59"/>
      <c r="G27" s="60"/>
      <c r="H27" s="60"/>
      <c r="I27" s="37"/>
    </row>
    <row r="28" spans="1:9" ht="14.25" thickBot="1" x14ac:dyDescent="0.25">
      <c r="A28" s="7"/>
      <c r="B28" s="7"/>
      <c r="C28" s="15"/>
      <c r="D28" s="15"/>
      <c r="E28" s="37"/>
      <c r="F28" s="59"/>
      <c r="G28" s="60"/>
      <c r="H28" s="60"/>
      <c r="I28" s="37"/>
    </row>
    <row r="29" spans="1:9" ht="14.25" thickBot="1" x14ac:dyDescent="0.25">
      <c r="A29" s="16" t="s">
        <v>22</v>
      </c>
      <c r="B29" s="16">
        <f>SUM(B18:B28)</f>
        <v>93</v>
      </c>
      <c r="C29" s="83" t="s">
        <v>39</v>
      </c>
      <c r="D29" s="17"/>
      <c r="E29" s="37"/>
      <c r="F29" s="59"/>
      <c r="G29" s="60"/>
      <c r="H29" s="60"/>
      <c r="I29" s="37"/>
    </row>
    <row r="30" spans="1:9" ht="15" thickBot="1" x14ac:dyDescent="0.35">
      <c r="A30" s="18"/>
      <c r="B30" s="18"/>
      <c r="C30" s="18"/>
      <c r="D30" s="18"/>
      <c r="E30" s="37"/>
      <c r="F30" s="59"/>
      <c r="G30" s="60"/>
      <c r="H30" s="60"/>
      <c r="I30" s="37"/>
    </row>
    <row r="31" spans="1:9" ht="18.75" thickBot="1" x14ac:dyDescent="0.25">
      <c r="A31" s="10" t="s">
        <v>14</v>
      </c>
      <c r="B31" s="11">
        <v>3</v>
      </c>
      <c r="C31" s="31"/>
      <c r="D31" s="33"/>
      <c r="E31" s="37"/>
      <c r="F31" s="59"/>
      <c r="G31" s="60"/>
      <c r="H31" s="60"/>
      <c r="I31" s="37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  <c r="E32" s="37"/>
      <c r="F32" s="61"/>
      <c r="G32" s="62"/>
      <c r="H32" s="62"/>
      <c r="I32" s="37"/>
    </row>
    <row r="33" spans="1:9" ht="67.5" x14ac:dyDescent="0.3">
      <c r="A33" s="9" t="s">
        <v>35</v>
      </c>
      <c r="B33" s="8">
        <v>30</v>
      </c>
      <c r="C33" s="13" t="s">
        <v>67</v>
      </c>
      <c r="D33" s="13"/>
      <c r="E33" s="37"/>
      <c r="F33" s="63"/>
      <c r="G33" s="63"/>
      <c r="H33" s="63"/>
      <c r="I33" s="37"/>
    </row>
    <row r="34" spans="1:9" ht="27" x14ac:dyDescent="0.2">
      <c r="A34" s="5" t="s">
        <v>38</v>
      </c>
      <c r="B34" s="6">
        <v>5</v>
      </c>
      <c r="C34" s="14" t="s">
        <v>68</v>
      </c>
      <c r="D34" s="14"/>
      <c r="E34" s="37"/>
      <c r="F34" s="37"/>
      <c r="G34" s="37"/>
      <c r="H34" s="37"/>
      <c r="I34" s="37"/>
    </row>
    <row r="35" spans="1:9" ht="54" x14ac:dyDescent="0.2">
      <c r="A35" s="5" t="s">
        <v>36</v>
      </c>
      <c r="B35" s="6">
        <v>18</v>
      </c>
      <c r="C35" s="14" t="s">
        <v>69</v>
      </c>
      <c r="D35" s="14"/>
      <c r="E35" s="37"/>
      <c r="F35" s="37"/>
      <c r="G35" s="37"/>
      <c r="H35" s="37"/>
      <c r="I35" s="37"/>
    </row>
    <row r="36" spans="1:9" ht="13.5" x14ac:dyDescent="0.2">
      <c r="A36" s="5" t="s">
        <v>38</v>
      </c>
      <c r="B36" s="6">
        <v>5</v>
      </c>
      <c r="C36" s="14" t="s">
        <v>70</v>
      </c>
      <c r="D36" s="14"/>
      <c r="E36" s="37"/>
      <c r="F36" s="37"/>
      <c r="G36" s="37"/>
      <c r="H36" s="37"/>
      <c r="I36" s="37"/>
    </row>
    <row r="37" spans="1:9" ht="27" x14ac:dyDescent="0.2">
      <c r="A37" s="5" t="s">
        <v>30</v>
      </c>
      <c r="B37" s="6">
        <v>30</v>
      </c>
      <c r="C37" s="14" t="s">
        <v>71</v>
      </c>
      <c r="D37" s="14"/>
    </row>
    <row r="38" spans="1:9" ht="13.5" x14ac:dyDescent="0.2">
      <c r="A38" s="5" t="s">
        <v>29</v>
      </c>
      <c r="B38" s="6">
        <v>5</v>
      </c>
      <c r="C38" s="14" t="s">
        <v>57</v>
      </c>
      <c r="D38" s="14"/>
    </row>
    <row r="39" spans="1:9" ht="13.5" x14ac:dyDescent="0.2">
      <c r="A39" s="6"/>
      <c r="B39" s="6"/>
      <c r="C39" s="14"/>
      <c r="D39" s="14"/>
    </row>
    <row r="40" spans="1:9" ht="13.5" x14ac:dyDescent="0.2">
      <c r="A40" s="6"/>
      <c r="B40" s="6"/>
      <c r="C40" s="14"/>
      <c r="D40" s="14"/>
    </row>
    <row r="41" spans="1:9" ht="13.5" x14ac:dyDescent="0.2">
      <c r="A41" s="6"/>
      <c r="B41" s="6"/>
      <c r="C41" s="14"/>
      <c r="D41" s="14"/>
    </row>
    <row r="42" spans="1:9" ht="14.25" thickBot="1" x14ac:dyDescent="0.25">
      <c r="A42" s="7"/>
      <c r="B42" s="7"/>
      <c r="C42" s="15"/>
      <c r="D42" s="15"/>
    </row>
    <row r="43" spans="1:9" ht="14.25" thickBot="1" x14ac:dyDescent="0.25">
      <c r="A43" s="16" t="s">
        <v>22</v>
      </c>
      <c r="B43" s="16">
        <f>SUM(B33:B42)</f>
        <v>93</v>
      </c>
      <c r="C43" s="83" t="s">
        <v>39</v>
      </c>
      <c r="D43" s="17"/>
    </row>
    <row r="44" spans="1:9" ht="15" thickBot="1" x14ac:dyDescent="0.35">
      <c r="A44" s="18"/>
      <c r="B44" s="18"/>
      <c r="C44" s="18"/>
      <c r="D44" s="18"/>
    </row>
    <row r="45" spans="1:9" ht="18.75" thickBot="1" x14ac:dyDescent="0.25">
      <c r="A45" s="10" t="s">
        <v>14</v>
      </c>
      <c r="B45" s="11">
        <v>4</v>
      </c>
      <c r="C45" s="31"/>
      <c r="D45" s="33"/>
    </row>
    <row r="46" spans="1:9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9" ht="13.5" x14ac:dyDescent="0.2">
      <c r="A47" s="9" t="s">
        <v>21</v>
      </c>
      <c r="B47" s="8">
        <v>54</v>
      </c>
      <c r="C47" s="13" t="s">
        <v>72</v>
      </c>
      <c r="D47" s="13"/>
    </row>
    <row r="48" spans="1:9" ht="81" x14ac:dyDescent="0.2">
      <c r="A48" s="5" t="s">
        <v>37</v>
      </c>
      <c r="B48" s="6">
        <v>30</v>
      </c>
      <c r="C48" s="14" t="s">
        <v>73</v>
      </c>
      <c r="D48" s="14"/>
    </row>
    <row r="49" spans="1:4" ht="13.5" x14ac:dyDescent="0.2">
      <c r="A49" s="5" t="s">
        <v>29</v>
      </c>
      <c r="B49" s="6">
        <v>5</v>
      </c>
      <c r="C49" s="14" t="s">
        <v>57</v>
      </c>
      <c r="D49" s="14"/>
    </row>
    <row r="50" spans="1:4" ht="13.5" x14ac:dyDescent="0.2">
      <c r="A50" s="5" t="s">
        <v>30</v>
      </c>
      <c r="B50" s="6">
        <v>4</v>
      </c>
      <c r="C50" s="14" t="s">
        <v>74</v>
      </c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3.5" x14ac:dyDescent="0.2">
      <c r="A54" s="6"/>
      <c r="B54" s="6"/>
      <c r="C54" s="14"/>
      <c r="D54" s="14"/>
    </row>
    <row r="55" spans="1:4" ht="13.5" x14ac:dyDescent="0.2">
      <c r="A55" s="6"/>
      <c r="B55" s="6"/>
      <c r="C55" s="14"/>
      <c r="D55" s="14"/>
    </row>
    <row r="56" spans="1:4" ht="14.25" thickBot="1" x14ac:dyDescent="0.25">
      <c r="A56" s="7"/>
      <c r="B56" s="7"/>
      <c r="C56" s="15"/>
      <c r="D56" s="15"/>
    </row>
    <row r="57" spans="1:4" ht="14.25" thickBot="1" x14ac:dyDescent="0.25">
      <c r="A57" s="16" t="s">
        <v>22</v>
      </c>
      <c r="B57" s="16">
        <f>SUM(B47:B56)</f>
        <v>93</v>
      </c>
      <c r="C57" s="83" t="s">
        <v>39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5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21</v>
      </c>
      <c r="B61" s="8">
        <v>12</v>
      </c>
      <c r="C61" s="13" t="s">
        <v>80</v>
      </c>
      <c r="D61" s="13"/>
    </row>
    <row r="62" spans="1:4" ht="13.5" x14ac:dyDescent="0.2">
      <c r="A62" s="9" t="s">
        <v>30</v>
      </c>
      <c r="B62" s="8">
        <v>6</v>
      </c>
      <c r="C62" s="14" t="s">
        <v>74</v>
      </c>
      <c r="D62" s="13"/>
    </row>
    <row r="63" spans="1:4" ht="27" x14ac:dyDescent="0.2">
      <c r="A63" s="107" t="s">
        <v>77</v>
      </c>
      <c r="B63" s="108">
        <v>15</v>
      </c>
      <c r="C63" s="14" t="s">
        <v>78</v>
      </c>
      <c r="D63" s="109"/>
    </row>
    <row r="64" spans="1:4" ht="27" x14ac:dyDescent="0.2">
      <c r="A64" s="5" t="s">
        <v>38</v>
      </c>
      <c r="B64" s="6">
        <v>20</v>
      </c>
      <c r="C64" s="14" t="s">
        <v>75</v>
      </c>
      <c r="D64" s="14"/>
    </row>
    <row r="65" spans="1:4" ht="27" x14ac:dyDescent="0.2">
      <c r="A65" s="5" t="s">
        <v>76</v>
      </c>
      <c r="B65" s="6">
        <v>25</v>
      </c>
      <c r="C65" s="14" t="s">
        <v>79</v>
      </c>
      <c r="D65" s="14"/>
    </row>
    <row r="66" spans="1:4" ht="13.5" x14ac:dyDescent="0.2">
      <c r="A66" s="5" t="s">
        <v>29</v>
      </c>
      <c r="B66" s="6">
        <v>5</v>
      </c>
      <c r="C66" s="14" t="s">
        <v>57</v>
      </c>
      <c r="D66" s="14"/>
    </row>
    <row r="67" spans="1:4" ht="27" x14ac:dyDescent="0.2">
      <c r="A67" s="5" t="s">
        <v>30</v>
      </c>
      <c r="B67" s="6">
        <v>10</v>
      </c>
      <c r="C67" s="14" t="s">
        <v>81</v>
      </c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4.25" thickBot="1" x14ac:dyDescent="0.25">
      <c r="A72" s="7"/>
      <c r="B72" s="7"/>
      <c r="C72" s="15"/>
      <c r="D72" s="15"/>
    </row>
    <row r="73" spans="1:4" ht="14.25" thickBot="1" x14ac:dyDescent="0.25">
      <c r="A73" s="16" t="s">
        <v>22</v>
      </c>
      <c r="B73" s="16">
        <f>SUM(B61:B72)</f>
        <v>93</v>
      </c>
      <c r="C73" s="83" t="s">
        <v>39</v>
      </c>
      <c r="D73" s="17"/>
    </row>
    <row r="74" spans="1:4" ht="15" thickBot="1" x14ac:dyDescent="0.35">
      <c r="A74" s="18"/>
      <c r="B74" s="18"/>
      <c r="C74" s="18"/>
      <c r="D74" s="18"/>
    </row>
    <row r="75" spans="1:4" ht="18.75" thickBot="1" x14ac:dyDescent="0.25">
      <c r="A75" s="10" t="s">
        <v>14</v>
      </c>
      <c r="B75" s="11">
        <v>6</v>
      </c>
      <c r="C75" s="31"/>
      <c r="D75" s="33"/>
    </row>
    <row r="76" spans="1:4" ht="27.75" thickBot="1" x14ac:dyDescent="0.25">
      <c r="A76" s="12" t="s">
        <v>3</v>
      </c>
      <c r="B76" s="32" t="s">
        <v>15</v>
      </c>
      <c r="C76" s="12" t="s">
        <v>7</v>
      </c>
      <c r="D76" s="12" t="s">
        <v>13</v>
      </c>
    </row>
    <row r="77" spans="1:4" ht="13.5" x14ac:dyDescent="0.2">
      <c r="A77" s="9" t="s">
        <v>21</v>
      </c>
      <c r="B77" s="8">
        <v>12</v>
      </c>
      <c r="C77" s="13" t="s">
        <v>82</v>
      </c>
      <c r="D77" s="13"/>
    </row>
    <row r="78" spans="1:4" ht="13.5" x14ac:dyDescent="0.2">
      <c r="A78" s="5" t="s">
        <v>38</v>
      </c>
      <c r="B78" s="6">
        <v>10</v>
      </c>
      <c r="C78" s="14" t="s">
        <v>83</v>
      </c>
      <c r="D78" s="14"/>
    </row>
    <row r="79" spans="1:4" ht="13.5" x14ac:dyDescent="0.2">
      <c r="A79" s="5" t="s">
        <v>30</v>
      </c>
      <c r="B79" s="6">
        <v>3</v>
      </c>
      <c r="C79" s="14" t="s">
        <v>84</v>
      </c>
      <c r="D79" s="14"/>
    </row>
    <row r="80" spans="1:4" ht="13.5" x14ac:dyDescent="0.2">
      <c r="A80" s="5" t="s">
        <v>29</v>
      </c>
      <c r="B80" s="6">
        <v>2</v>
      </c>
      <c r="C80" s="14" t="s">
        <v>85</v>
      </c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4.25" thickBot="1" x14ac:dyDescent="0.25">
      <c r="A86" s="7"/>
      <c r="B86" s="7"/>
      <c r="C86" s="15"/>
      <c r="D86" s="15"/>
    </row>
    <row r="87" spans="1:4" ht="14.25" thickBot="1" x14ac:dyDescent="0.25">
      <c r="A87" s="16" t="s">
        <v>22</v>
      </c>
      <c r="B87" s="16">
        <f>SUM(B77:B86)</f>
        <v>27</v>
      </c>
      <c r="C87" s="83" t="s">
        <v>39</v>
      </c>
      <c r="D87" s="17"/>
    </row>
    <row r="88" spans="1:4" ht="14.25" x14ac:dyDescent="0.3">
      <c r="A88" s="18"/>
      <c r="B88" s="18"/>
      <c r="C88" s="18"/>
      <c r="D88" s="18"/>
    </row>
    <row r="89" spans="1:4" x14ac:dyDescent="0.2">
      <c r="A89" s="84" t="s">
        <v>40</v>
      </c>
    </row>
  </sheetData>
  <sheetProtection insertRows="0" selectLockedCells="1"/>
  <dataValidations count="4">
    <dataValidation type="list" allowBlank="1" showInputMessage="1" showErrorMessage="1" sqref="A77:A86 A33:A42 A47:A56 A3:A13 A18:A28 A61:A7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9 B43 B57 B73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7:B86 B33:B42 B47:B56 B3:B13 B18:B28 F23:F31 B61:B7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9"/>
  <sheetViews>
    <sheetView tabSelected="1" view="pageBreakPreview" topLeftCell="A25" zoomScaleNormal="100" zoomScaleSheetLayoutView="100" workbookViewId="0">
      <selection activeCell="C38" sqref="C3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5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ht="15.75" thickBot="1" x14ac:dyDescent="0.25">
      <c r="A3" s="119" t="s">
        <v>102</v>
      </c>
      <c r="B3" s="120"/>
      <c r="C3" s="119"/>
      <c r="D3" s="119"/>
    </row>
    <row r="4" spans="1:4" s="81" customFormat="1" ht="13.5" x14ac:dyDescent="0.2">
      <c r="A4" s="9" t="s">
        <v>42</v>
      </c>
      <c r="B4" s="8">
        <v>3</v>
      </c>
      <c r="C4" s="13" t="s">
        <v>49</v>
      </c>
      <c r="D4" s="13"/>
    </row>
    <row r="5" spans="1:4" s="81" customFormat="1" ht="27" x14ac:dyDescent="0.2">
      <c r="A5" s="5" t="s">
        <v>56</v>
      </c>
      <c r="B5" s="108">
        <v>3</v>
      </c>
      <c r="C5" s="109" t="s">
        <v>86</v>
      </c>
      <c r="D5" s="109"/>
    </row>
    <row r="6" spans="1:4" s="81" customFormat="1" ht="27.75" thickBot="1" x14ac:dyDescent="0.25">
      <c r="A6" s="5" t="s">
        <v>41</v>
      </c>
      <c r="B6" s="116">
        <v>6</v>
      </c>
      <c r="C6" s="80" t="s">
        <v>87</v>
      </c>
      <c r="D6" s="117"/>
    </row>
    <row r="7" spans="1:4" s="81" customFormat="1" ht="15.75" thickBot="1" x14ac:dyDescent="0.25">
      <c r="A7" s="74" t="s">
        <v>103</v>
      </c>
      <c r="B7" s="75"/>
      <c r="C7" s="74"/>
      <c r="D7" s="74"/>
    </row>
    <row r="8" spans="1:4" s="81" customFormat="1" ht="27" x14ac:dyDescent="0.2">
      <c r="A8" s="5" t="s">
        <v>41</v>
      </c>
      <c r="B8" s="108">
        <v>9</v>
      </c>
      <c r="C8" s="109" t="s">
        <v>87</v>
      </c>
      <c r="D8" s="109"/>
    </row>
    <row r="9" spans="1:4" s="81" customFormat="1" ht="27" x14ac:dyDescent="0.2">
      <c r="A9" s="5" t="s">
        <v>41</v>
      </c>
      <c r="B9" s="6">
        <v>4</v>
      </c>
      <c r="C9" s="14" t="s">
        <v>52</v>
      </c>
      <c r="D9" s="14"/>
    </row>
    <row r="10" spans="1:4" s="81" customFormat="1" ht="13.5" x14ac:dyDescent="0.2">
      <c r="A10" s="5" t="s">
        <v>30</v>
      </c>
      <c r="B10" s="6">
        <v>2</v>
      </c>
      <c r="C10" s="14" t="s">
        <v>88</v>
      </c>
      <c r="D10" s="14"/>
    </row>
    <row r="11" spans="1:4" s="81" customFormat="1" ht="27" x14ac:dyDescent="0.2">
      <c r="A11" s="5" t="s">
        <v>33</v>
      </c>
      <c r="B11" s="6">
        <v>10</v>
      </c>
      <c r="C11" s="14" t="s">
        <v>89</v>
      </c>
      <c r="D11" s="118" t="s">
        <v>90</v>
      </c>
    </row>
    <row r="12" spans="1:4" s="81" customFormat="1" ht="27.75" thickBot="1" x14ac:dyDescent="0.25">
      <c r="A12" s="5" t="s">
        <v>28</v>
      </c>
      <c r="B12" s="79">
        <v>2</v>
      </c>
      <c r="C12" s="80" t="s">
        <v>91</v>
      </c>
      <c r="D12" s="80"/>
    </row>
    <row r="13" spans="1:4" s="81" customFormat="1" ht="15.75" thickBot="1" x14ac:dyDescent="0.25">
      <c r="A13" s="74" t="s">
        <v>104</v>
      </c>
      <c r="B13" s="75"/>
      <c r="C13" s="74"/>
      <c r="D13" s="74"/>
    </row>
    <row r="14" spans="1:4" s="81" customFormat="1" ht="27" x14ac:dyDescent="0.2">
      <c r="A14" s="5" t="s">
        <v>28</v>
      </c>
      <c r="B14" s="108">
        <v>9</v>
      </c>
      <c r="C14" s="109" t="s">
        <v>92</v>
      </c>
      <c r="D14" s="109" t="s">
        <v>93</v>
      </c>
    </row>
    <row r="15" spans="1:4" s="81" customFormat="1" ht="27" x14ac:dyDescent="0.2">
      <c r="A15" s="5" t="s">
        <v>33</v>
      </c>
      <c r="B15" s="6">
        <v>2</v>
      </c>
      <c r="C15" s="14" t="s">
        <v>94</v>
      </c>
      <c r="D15" s="14"/>
    </row>
    <row r="16" spans="1:4" s="81" customFormat="1" ht="13.5" x14ac:dyDescent="0.2">
      <c r="A16" s="5" t="s">
        <v>30</v>
      </c>
      <c r="B16" s="6">
        <v>5</v>
      </c>
      <c r="C16" s="14" t="s">
        <v>95</v>
      </c>
      <c r="D16" s="14" t="s">
        <v>96</v>
      </c>
    </row>
    <row r="17" spans="1:9" s="81" customFormat="1" ht="27" x14ac:dyDescent="0.2">
      <c r="A17" s="5" t="s">
        <v>56</v>
      </c>
      <c r="B17" s="6">
        <v>9</v>
      </c>
      <c r="C17" s="14" t="s">
        <v>97</v>
      </c>
      <c r="D17" s="14" t="s">
        <v>98</v>
      </c>
    </row>
    <row r="18" spans="1:9" s="81" customFormat="1" ht="14.25" thickBot="1" x14ac:dyDescent="0.25">
      <c r="A18" s="6" t="s">
        <v>29</v>
      </c>
      <c r="B18" s="6">
        <v>2</v>
      </c>
      <c r="C18" s="14" t="s">
        <v>57</v>
      </c>
      <c r="D18" s="14"/>
    </row>
    <row r="19" spans="1:9" s="81" customFormat="1" ht="15.75" thickBot="1" x14ac:dyDescent="0.25">
      <c r="A19" s="74" t="s">
        <v>105</v>
      </c>
      <c r="B19" s="75"/>
      <c r="C19" s="74"/>
      <c r="D19" s="74"/>
    </row>
    <row r="20" spans="1:9" s="81" customFormat="1" ht="13.5" x14ac:dyDescent="0.2">
      <c r="A20" s="6" t="s">
        <v>30</v>
      </c>
      <c r="B20" s="79">
        <v>12</v>
      </c>
      <c r="C20" s="80" t="s">
        <v>99</v>
      </c>
      <c r="D20" s="80" t="s">
        <v>100</v>
      </c>
    </row>
    <row r="21" spans="1:9" s="81" customFormat="1" ht="27.75" thickBot="1" x14ac:dyDescent="0.25">
      <c r="A21" s="6" t="s">
        <v>31</v>
      </c>
      <c r="B21" s="79">
        <v>15</v>
      </c>
      <c r="C21" s="80" t="s">
        <v>101</v>
      </c>
      <c r="D21" s="80"/>
    </row>
    <row r="22" spans="1:9" ht="14.25" thickBot="1" x14ac:dyDescent="0.25">
      <c r="A22" s="76" t="s">
        <v>22</v>
      </c>
      <c r="B22" s="76">
        <f>SUM(B4:B21)</f>
        <v>93</v>
      </c>
      <c r="C22" s="115" t="s">
        <v>39</v>
      </c>
      <c r="D22" s="77"/>
    </row>
    <row r="23" spans="1:9" ht="15" thickBot="1" x14ac:dyDescent="0.35">
      <c r="A23" s="78"/>
      <c r="B23" s="78"/>
      <c r="C23" s="78"/>
      <c r="D23" s="78"/>
    </row>
    <row r="24" spans="1:9" ht="18.75" thickBot="1" x14ac:dyDescent="0.25">
      <c r="A24" s="71" t="s">
        <v>14</v>
      </c>
      <c r="B24" s="72">
        <v>2</v>
      </c>
      <c r="C24" s="73" t="s">
        <v>23</v>
      </c>
      <c r="D24" s="82">
        <v>42863</v>
      </c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5.75" thickBot="1" x14ac:dyDescent="0.25">
      <c r="A26" s="74" t="s">
        <v>102</v>
      </c>
      <c r="B26" s="75"/>
      <c r="C26" s="74"/>
      <c r="D26" s="74"/>
    </row>
    <row r="27" spans="1:9" ht="13.5" x14ac:dyDescent="0.2">
      <c r="A27" s="107" t="s">
        <v>42</v>
      </c>
      <c r="B27" s="6">
        <v>2</v>
      </c>
      <c r="C27" s="14" t="s">
        <v>106</v>
      </c>
      <c r="D27" s="14" t="s">
        <v>107</v>
      </c>
    </row>
    <row r="28" spans="1:9" ht="51" x14ac:dyDescent="0.2">
      <c r="A28" s="5" t="s">
        <v>28</v>
      </c>
      <c r="B28" s="6">
        <v>6</v>
      </c>
      <c r="C28" s="14" t="s">
        <v>108</v>
      </c>
      <c r="D28" s="121" t="s">
        <v>109</v>
      </c>
      <c r="E28" s="37"/>
      <c r="F28" s="37"/>
      <c r="G28" s="37"/>
      <c r="H28" s="37"/>
      <c r="I28" s="37"/>
    </row>
    <row r="29" spans="1:9" ht="12.75" customHeight="1" thickBot="1" x14ac:dyDescent="0.25">
      <c r="A29" s="5" t="s">
        <v>41</v>
      </c>
      <c r="B29" s="6">
        <v>4</v>
      </c>
      <c r="C29" s="14" t="s">
        <v>110</v>
      </c>
      <c r="D29" s="14"/>
      <c r="E29" s="37"/>
      <c r="F29" s="54"/>
      <c r="G29" s="55"/>
      <c r="H29" s="56"/>
      <c r="I29" s="37"/>
    </row>
    <row r="30" spans="1:9" ht="15.75" thickBot="1" x14ac:dyDescent="0.25">
      <c r="A30" s="74" t="s">
        <v>103</v>
      </c>
      <c r="B30" s="75"/>
      <c r="C30" s="74"/>
      <c r="D30" s="74"/>
      <c r="E30" s="37"/>
      <c r="F30" s="57"/>
      <c r="G30" s="53"/>
      <c r="H30" s="53"/>
      <c r="I30" s="37"/>
    </row>
    <row r="31" spans="1:9" ht="13.5" x14ac:dyDescent="0.2">
      <c r="A31" s="5" t="s">
        <v>30</v>
      </c>
      <c r="B31" s="6">
        <v>3</v>
      </c>
      <c r="C31" s="14" t="s">
        <v>113</v>
      </c>
      <c r="D31" s="14" t="s">
        <v>111</v>
      </c>
      <c r="E31" s="37"/>
      <c r="F31" s="59"/>
      <c r="G31" s="60"/>
      <c r="H31" s="60"/>
      <c r="I31" s="37"/>
    </row>
    <row r="32" spans="1:9" ht="27" x14ac:dyDescent="0.2">
      <c r="A32" s="5" t="s">
        <v>41</v>
      </c>
      <c r="B32" s="6">
        <v>3</v>
      </c>
      <c r="C32" s="14" t="s">
        <v>110</v>
      </c>
      <c r="D32" s="14" t="s">
        <v>112</v>
      </c>
      <c r="E32" s="37"/>
      <c r="F32" s="59"/>
      <c r="G32" s="60"/>
      <c r="H32" s="60"/>
      <c r="I32" s="37"/>
    </row>
    <row r="33" spans="1:9" ht="13.5" x14ac:dyDescent="0.2">
      <c r="A33" s="5" t="s">
        <v>29</v>
      </c>
      <c r="B33" s="6">
        <v>1</v>
      </c>
      <c r="C33" s="14" t="s">
        <v>114</v>
      </c>
      <c r="D33" s="14"/>
      <c r="E33" s="37"/>
      <c r="F33" s="59"/>
      <c r="G33" s="60"/>
      <c r="H33" s="60"/>
      <c r="I33" s="37"/>
    </row>
    <row r="34" spans="1:9" ht="54" x14ac:dyDescent="0.2">
      <c r="A34" s="5" t="s">
        <v>33</v>
      </c>
      <c r="B34" s="6">
        <v>17</v>
      </c>
      <c r="C34" s="14" t="s">
        <v>117</v>
      </c>
      <c r="D34" s="14" t="s">
        <v>118</v>
      </c>
      <c r="E34" s="37"/>
      <c r="F34" s="59"/>
      <c r="G34" s="60"/>
      <c r="H34" s="60"/>
      <c r="I34" s="37"/>
    </row>
    <row r="35" spans="1:9" ht="27" x14ac:dyDescent="0.2">
      <c r="A35" s="6" t="s">
        <v>28</v>
      </c>
      <c r="B35" s="6">
        <v>1</v>
      </c>
      <c r="C35" s="14" t="s">
        <v>115</v>
      </c>
      <c r="D35" s="14" t="s">
        <v>116</v>
      </c>
      <c r="E35" s="37"/>
      <c r="F35" s="59"/>
      <c r="G35" s="60"/>
      <c r="H35" s="60"/>
      <c r="I35" s="37"/>
    </row>
    <row r="36" spans="1:9" ht="14.25" thickBot="1" x14ac:dyDescent="0.25">
      <c r="A36" s="6" t="s">
        <v>29</v>
      </c>
      <c r="B36" s="6">
        <v>2</v>
      </c>
      <c r="C36" s="14" t="s">
        <v>57</v>
      </c>
      <c r="D36" s="14"/>
      <c r="E36" s="37"/>
      <c r="F36" s="59"/>
      <c r="G36" s="60"/>
      <c r="H36" s="60"/>
      <c r="I36" s="37"/>
    </row>
    <row r="37" spans="1:9" ht="15.75" thickBot="1" x14ac:dyDescent="0.25">
      <c r="A37" s="74" t="s">
        <v>104</v>
      </c>
      <c r="B37" s="75"/>
      <c r="C37" s="74"/>
      <c r="D37" s="74"/>
      <c r="E37" s="37"/>
      <c r="F37" s="57"/>
      <c r="G37" s="53"/>
      <c r="H37" s="53"/>
      <c r="I37" s="37"/>
    </row>
    <row r="38" spans="1:9" ht="13.5" x14ac:dyDescent="0.2">
      <c r="A38" s="79"/>
      <c r="B38" s="79"/>
      <c r="C38" s="80"/>
      <c r="D38" s="80"/>
      <c r="E38" s="37"/>
      <c r="F38" s="59"/>
      <c r="G38" s="60"/>
      <c r="H38" s="60"/>
      <c r="I38" s="37"/>
    </row>
    <row r="39" spans="1:9" ht="13.5" x14ac:dyDescent="0.2">
      <c r="A39" s="79"/>
      <c r="B39" s="79"/>
      <c r="C39" s="80"/>
      <c r="D39" s="80"/>
      <c r="E39" s="37"/>
      <c r="F39" s="61"/>
      <c r="G39" s="62"/>
      <c r="H39" s="62"/>
      <c r="I39" s="37"/>
    </row>
    <row r="40" spans="1:9" ht="15" thickBot="1" x14ac:dyDescent="0.35">
      <c r="A40" s="7"/>
      <c r="B40" s="7"/>
      <c r="C40" s="15"/>
      <c r="D40" s="15"/>
      <c r="E40" s="37"/>
      <c r="F40" s="63"/>
      <c r="G40" s="63"/>
      <c r="H40" s="63"/>
      <c r="I40" s="37"/>
    </row>
    <row r="41" spans="1:9" ht="14.25" thickBot="1" x14ac:dyDescent="0.25">
      <c r="A41" s="76" t="s">
        <v>22</v>
      </c>
      <c r="B41" s="76">
        <f>SUM(B26:B40)</f>
        <v>39</v>
      </c>
      <c r="C41" s="115" t="s">
        <v>39</v>
      </c>
      <c r="D41" s="77"/>
      <c r="E41" s="37"/>
      <c r="F41" s="37"/>
      <c r="G41" s="37"/>
      <c r="H41" s="37"/>
      <c r="I41" s="37"/>
    </row>
    <row r="42" spans="1:9" ht="15" thickBot="1" x14ac:dyDescent="0.35">
      <c r="A42" s="78"/>
      <c r="B42" s="78"/>
      <c r="C42" s="78"/>
      <c r="D42" s="78"/>
      <c r="E42" s="37"/>
      <c r="F42" s="37"/>
      <c r="G42" s="37"/>
      <c r="H42" s="37"/>
      <c r="I42" s="37"/>
    </row>
    <row r="43" spans="1:9" ht="18.75" thickBot="1" x14ac:dyDescent="0.25">
      <c r="A43" s="71" t="s">
        <v>14</v>
      </c>
      <c r="B43" s="72">
        <v>3</v>
      </c>
      <c r="C43" s="73" t="s">
        <v>23</v>
      </c>
      <c r="D43" s="82">
        <v>42870</v>
      </c>
      <c r="E43" s="37"/>
      <c r="F43" s="37"/>
      <c r="G43" s="37"/>
      <c r="H43" s="37"/>
      <c r="I43" s="37"/>
    </row>
    <row r="44" spans="1:9" ht="27.75" thickBot="1" x14ac:dyDescent="0.25">
      <c r="A44" s="74" t="s">
        <v>3</v>
      </c>
      <c r="B44" s="75" t="s">
        <v>15</v>
      </c>
      <c r="C44" s="74" t="s">
        <v>7</v>
      </c>
      <c r="D44" s="74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6"/>
      <c r="B54" s="6"/>
      <c r="C54" s="14"/>
      <c r="D54" s="14"/>
    </row>
    <row r="55" spans="1:4" ht="13.5" x14ac:dyDescent="0.2">
      <c r="A55" s="6"/>
      <c r="B55" s="6"/>
      <c r="C55" s="14"/>
      <c r="D55" s="14"/>
    </row>
    <row r="56" spans="1:4" ht="13.5" x14ac:dyDescent="0.2">
      <c r="A56" s="6"/>
      <c r="B56" s="6"/>
      <c r="C56" s="14"/>
      <c r="D56" s="14"/>
    </row>
    <row r="57" spans="1:4" ht="13.5" x14ac:dyDescent="0.2">
      <c r="A57" s="79"/>
      <c r="B57" s="79"/>
      <c r="C57" s="80"/>
      <c r="D57" s="80"/>
    </row>
    <row r="58" spans="1:4" ht="13.5" x14ac:dyDescent="0.2">
      <c r="A58" s="79"/>
      <c r="B58" s="79"/>
      <c r="C58" s="80"/>
      <c r="D58" s="80"/>
    </row>
    <row r="59" spans="1:4" ht="14.25" thickBot="1" x14ac:dyDescent="0.25">
      <c r="A59" s="7"/>
      <c r="B59" s="7"/>
      <c r="C59" s="15"/>
      <c r="D59" s="15"/>
    </row>
    <row r="60" spans="1:4" ht="14.25" thickBot="1" x14ac:dyDescent="0.25">
      <c r="A60" s="76" t="s">
        <v>22</v>
      </c>
      <c r="B60" s="76">
        <f>SUM(B45:B59)</f>
        <v>0</v>
      </c>
      <c r="C60" s="115" t="s">
        <v>39</v>
      </c>
      <c r="D60" s="77"/>
    </row>
    <row r="61" spans="1:4" ht="15" thickBot="1" x14ac:dyDescent="0.35">
      <c r="A61" s="78"/>
      <c r="B61" s="78"/>
      <c r="C61" s="78"/>
      <c r="D61" s="78"/>
    </row>
    <row r="62" spans="1:4" ht="18.75" thickBot="1" x14ac:dyDescent="0.25">
      <c r="A62" s="71" t="s">
        <v>14</v>
      </c>
      <c r="B62" s="72">
        <v>4</v>
      </c>
      <c r="C62" s="73" t="s">
        <v>23</v>
      </c>
      <c r="D62" s="82">
        <v>42877</v>
      </c>
    </row>
    <row r="63" spans="1:4" ht="27.75" thickBot="1" x14ac:dyDescent="0.25">
      <c r="A63" s="74" t="s">
        <v>3</v>
      </c>
      <c r="B63" s="75" t="s">
        <v>15</v>
      </c>
      <c r="C63" s="74" t="s">
        <v>7</v>
      </c>
      <c r="D63" s="74" t="s">
        <v>13</v>
      </c>
    </row>
    <row r="64" spans="1:4" ht="13.5" x14ac:dyDescent="0.2">
      <c r="A64" s="9"/>
      <c r="B64" s="8"/>
      <c r="C64" s="13"/>
      <c r="D64" s="13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6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79"/>
      <c r="B76" s="79"/>
      <c r="C76" s="80"/>
      <c r="D76" s="80"/>
    </row>
    <row r="77" spans="1:4" ht="13.5" x14ac:dyDescent="0.2">
      <c r="A77" s="79"/>
      <c r="B77" s="79"/>
      <c r="C77" s="80"/>
      <c r="D77" s="80"/>
    </row>
    <row r="78" spans="1:4" ht="14.25" thickBot="1" x14ac:dyDescent="0.25">
      <c r="A78" s="7"/>
      <c r="B78" s="7"/>
      <c r="C78" s="15"/>
      <c r="D78" s="15"/>
    </row>
    <row r="79" spans="1:4" ht="14.25" thickBot="1" x14ac:dyDescent="0.25">
      <c r="A79" s="76" t="s">
        <v>22</v>
      </c>
      <c r="B79" s="76">
        <f>SUM(B64:B78)</f>
        <v>0</v>
      </c>
      <c r="C79" s="115" t="s">
        <v>39</v>
      </c>
      <c r="D79" s="77"/>
    </row>
    <row r="80" spans="1:4" ht="15" thickBot="1" x14ac:dyDescent="0.35">
      <c r="A80" s="78"/>
      <c r="B80" s="78"/>
      <c r="C80" s="78"/>
      <c r="D80" s="78"/>
    </row>
    <row r="81" spans="1:4" ht="18.75" thickBot="1" x14ac:dyDescent="0.25">
      <c r="A81" s="71" t="s">
        <v>14</v>
      </c>
      <c r="B81" s="72">
        <v>5</v>
      </c>
      <c r="C81" s="73" t="s">
        <v>23</v>
      </c>
      <c r="D81" s="82">
        <v>42884</v>
      </c>
    </row>
    <row r="82" spans="1:4" ht="27.75" thickBot="1" x14ac:dyDescent="0.25">
      <c r="A82" s="74" t="s">
        <v>3</v>
      </c>
      <c r="B82" s="75" t="s">
        <v>15</v>
      </c>
      <c r="C82" s="74" t="s">
        <v>7</v>
      </c>
      <c r="D82" s="74" t="s">
        <v>13</v>
      </c>
    </row>
    <row r="83" spans="1:4" ht="13.5" x14ac:dyDescent="0.2">
      <c r="A83" s="9"/>
      <c r="B83" s="8"/>
      <c r="C83" s="13"/>
      <c r="D83" s="13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79"/>
      <c r="B95" s="79"/>
      <c r="C95" s="80"/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"/>
      <c r="B97" s="7"/>
      <c r="C97" s="15"/>
      <c r="D97" s="15"/>
    </row>
    <row r="98" spans="1:4" ht="14.25" thickBot="1" x14ac:dyDescent="0.25">
      <c r="A98" s="76" t="s">
        <v>22</v>
      </c>
      <c r="B98" s="76">
        <f>SUM(B83:B97)</f>
        <v>0</v>
      </c>
      <c r="C98" s="115" t="s">
        <v>39</v>
      </c>
      <c r="D98" s="77"/>
    </row>
    <row r="99" spans="1:4" ht="15" thickBot="1" x14ac:dyDescent="0.35">
      <c r="A99" s="78"/>
      <c r="B99" s="78"/>
      <c r="C99" s="78"/>
      <c r="D99" s="78"/>
    </row>
    <row r="100" spans="1:4" ht="18.75" thickBot="1" x14ac:dyDescent="0.25">
      <c r="A100" s="71" t="s">
        <v>14</v>
      </c>
      <c r="B100" s="72">
        <v>6</v>
      </c>
      <c r="C100" s="73" t="s">
        <v>23</v>
      </c>
      <c r="D100" s="82">
        <v>42891</v>
      </c>
    </row>
    <row r="101" spans="1:4" ht="27.75" thickBot="1" x14ac:dyDescent="0.25">
      <c r="A101" s="74" t="s">
        <v>3</v>
      </c>
      <c r="B101" s="75" t="s">
        <v>15</v>
      </c>
      <c r="C101" s="74" t="s">
        <v>7</v>
      </c>
      <c r="D101" s="74" t="s">
        <v>13</v>
      </c>
    </row>
    <row r="102" spans="1:4" ht="13.5" x14ac:dyDescent="0.2">
      <c r="A102" s="9"/>
      <c r="B102" s="8"/>
      <c r="C102" s="13"/>
      <c r="D102" s="13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6"/>
      <c r="B113" s="6"/>
      <c r="C113" s="14"/>
      <c r="D113" s="14"/>
    </row>
    <row r="114" spans="1:4" ht="13.5" x14ac:dyDescent="0.2">
      <c r="A114" s="79"/>
      <c r="B114" s="79"/>
      <c r="C114" s="80"/>
      <c r="D114" s="80"/>
    </row>
    <row r="115" spans="1:4" ht="13.5" x14ac:dyDescent="0.2">
      <c r="A115" s="79"/>
      <c r="B115" s="79"/>
      <c r="C115" s="80"/>
      <c r="D115" s="80"/>
    </row>
    <row r="116" spans="1:4" ht="14.25" thickBot="1" x14ac:dyDescent="0.25">
      <c r="A116" s="7"/>
      <c r="B116" s="7"/>
      <c r="C116" s="15"/>
      <c r="D116" s="15"/>
    </row>
    <row r="117" spans="1:4" ht="14.25" thickBot="1" x14ac:dyDescent="0.25">
      <c r="A117" s="76" t="s">
        <v>22</v>
      </c>
      <c r="B117" s="76">
        <f>SUM(B102:B116)</f>
        <v>0</v>
      </c>
      <c r="C117" s="115" t="s">
        <v>39</v>
      </c>
      <c r="D117" s="77"/>
    </row>
    <row r="118" spans="1:4" ht="14.25" x14ac:dyDescent="0.3">
      <c r="A118" s="78"/>
      <c r="B118" s="78"/>
      <c r="C118" s="78"/>
      <c r="D118" s="78"/>
    </row>
    <row r="119" spans="1:4" x14ac:dyDescent="0.2">
      <c r="A119" s="84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8:B40 B102:B116 B14:B18 B45:B59 B64:B78 B83:B97 B20:B21 B4:B6 B8:B12 B27:B29 B31:B36 F31:F36 F3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1 B60 B79 B98 B117">
      <formula1>0</formula1>
      <formula2>NbPerWeek * NbQuartPer</formula2>
    </dataValidation>
    <dataValidation type="list" allowBlank="1" showInputMessage="1" showErrorMessage="1" sqref="A102:A116 A20:A21 A45:A59 A64:A78 A83:A97 A4:A6 A8:A12 A14:A18 A27:A29 A31:A36 A38:A40">
      <formula1>lstTasks</formula1>
    </dataValidation>
  </dataValidations>
  <hyperlinks>
    <hyperlink ref="D28" r:id="rId1" display="https://github.com/KadriKrasniqi/TPI/tree/master/Analyse"/>
  </hyperlinks>
  <printOptions horizontalCentered="1" verticalCentered="1"/>
  <pageMargins left="0.25" right="0.25" top="0.75" bottom="0.75" header="0.3" footer="0.3"/>
  <pageSetup paperSize="9" scale="59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915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2017-05-10T14:01:10Z</dcterms:modified>
  <cp:contentStatus>Version 8.0</cp:contentStatus>
</cp:coreProperties>
</file>